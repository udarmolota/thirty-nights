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" sheetId="2" state="visible" r:id="rId2"/>
    <sheet name="Params" sheetId="3" state="visible" r:id="rId3"/>
    <sheet name="Nights" sheetId="4" state="visible" r:id="rId4"/>
    <sheet name="People" sheetId="5" state="visible" r:id="rId5"/>
    <sheet name="Hou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164" fontId="5" fillId="4" borderId="1" pivotButton="0" quotePrefix="0" xfId="0"/>
    <xf numFmtId="0" fontId="5" fillId="4" borderId="1" pivotButton="0" quotePrefix="0" xfId="0"/>
    <xf numFmtId="1" fontId="4" fillId="0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0" fontId="6" fillId="3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EDEDED"/>
        </patternFill>
      </fill>
    </dxf>
    <dxf>
      <font>
        <name val="Arial"/>
        <b val="1"/>
        <color rgb="00FF0000"/>
        <sz val="10"/>
      </font>
    </dxf>
    <dxf>
      <font>
        <name val="Arial"/>
        <b val="1"/>
        <color rgb="00FF0000"/>
        <sz val="10"/>
      </font>
      <fill>
        <patternFill patternType="solid">
          <fgColor rgb="00FFEB9C"/>
        </patternFill>
      </fill>
    </dxf>
    <dxf>
      <font>
        <name val="Arial"/>
        <b val="1"/>
        <color rgb="00FF0000"/>
        <sz val="10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Arial"/>
        <color rgb="00FF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30 Nights - balance model v1.1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paper prototype of the whole game: 14 prep days + 30 nights, one row per day on the Plan sheet.</t>
        </is>
      </c>
    </row>
    <row r="5">
      <c r="A5" s="2" t="inlineStr">
        <is>
          <t>You play it by filling the yellow cells; the formulas tell you whether the colony is alive on day 44.</t>
        </is>
      </c>
    </row>
    <row r="6">
      <c r="A6" s="2" t="inlineStr">
        <is>
          <t>The point is to feel where the decisions are BEFORE any code exists, and to tune the numbers on Params.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Plan     - the day-by-day game. Summary at the top: days alive, verdict, minimum stocks, breaches.</t>
        </is>
      </c>
    </row>
    <row r="10">
      <c r="A10" s="2" t="inlineStr">
        <is>
          <t>Params   - every number of the world (blue). Change a value, watch the Plan recompute.</t>
        </is>
      </c>
    </row>
    <row r="11">
      <c r="A11" s="2" t="inlineStr">
        <is>
          <t>People   - the crew: work speed, expedition speed, carry weight, arrival day. Blank arrival = never joins.</t>
        </is>
      </c>
    </row>
    <row r="12">
      <c r="A12" s="2" t="inlineStr">
        <is>
          <t>Houses   - the village: shop, warehouse, clinic, garage, mine office and twelve residential houses; distance, stock, depletion.</t>
        </is>
      </c>
    </row>
    <row r="13">
      <c r="A13" s="2" t="inlineStr">
        <is>
          <t>Nights   - the rhythm of the siege (assault / probe / quiet), derived from Params.</t>
        </is>
      </c>
    </row>
    <row r="14">
      <c r="A14" s="2" t="inlineStr"/>
    </row>
    <row r="15">
      <c r="A15" s="3" t="inlineStr">
        <is>
          <t>The rules in one breath</t>
        </is>
      </c>
    </row>
    <row r="16">
      <c r="A16" s="2" t="inlineStr">
        <is>
          <t>Daylight shrinks from 8 h to 1 h over the prep days and is 0 during the nights. Chopping and expeditions need daylight; two runners can be out on the same day.</t>
        </is>
      </c>
    </row>
    <row r="17">
      <c r="A17" s="2" t="inlineStr">
        <is>
          <t>Each person has 12 work hours a day. Sawing, splitting, building and repairing can be done at any hour, inside the perimeter.</t>
        </is>
      </c>
    </row>
    <row r="18">
      <c r="A18" s="2" t="inlineStr">
        <is>
          <t>Logs (from the forest) become boards (defence) OR fuel (the stove). One log, one choice.</t>
        </is>
      </c>
    </row>
    <row r="19">
      <c r="A19" s="2" t="inlineStr">
        <is>
          <t>Food is deducted every morning: 1 unit per person. Food below zero = hunger = health loss. Every house depletes; the shop takes several trips.</t>
        </is>
      </c>
    </row>
    <row r="20">
      <c r="A20" s="2" t="inlineStr">
        <is>
          <t>One stove keeps the base at +2 C when sealed. Every hole or missing section costs 4 C. Below 0 C people lose health.</t>
        </is>
      </c>
    </row>
    <row r="21">
      <c r="A21" s="2" t="inlineStr">
        <is>
          <t>Every third night is an assault (10 in 30, escalating 3 -&gt; 12 attackers), the night after a probe (1 wolf), the third quiet. Each attacker deals 4 hp per night.</t>
        </is>
      </c>
    </row>
    <row r="22">
      <c r="A22" s="2" t="inlineStr">
        <is>
          <t>Reinforcement absorbs damage first; leftover damage accumulates and every 10 hp opens a hole - partial damage carries over to the next night, nothing is lost.</t>
        </is>
      </c>
    </row>
    <row r="23">
      <c r="A23" s="2" t="inlineStr">
        <is>
          <t>Attackers + an open gap (a hole or missing section, including one opened tonight) = BREACH = 15 health lost.</t>
        </is>
      </c>
    </row>
    <row r="24">
      <c r="A24" s="2" t="inlineStr">
        <is>
          <t>Expedition: trip = (2 x distance + 1 h search) / runner speed. Longer than the daylight = DARK = 10 health lost. Haul is limited by carry weight (food 1, board 2).</t>
        </is>
      </c>
    </row>
    <row r="25">
      <c r="A25" s="2" t="inlineStr"/>
    </row>
    <row r="26">
      <c r="A26" s="3" t="inlineStr">
        <is>
          <t>Flags in Status</t>
        </is>
      </c>
    </row>
    <row r="27">
      <c r="A27" s="2" t="inlineStr">
        <is>
          <t>OVERWORK - more hours planned than the crew has.  NO-DAYLIGHT - chopping or a trip does not fit into daylight.</t>
        </is>
      </c>
    </row>
    <row r="28">
      <c r="A28" s="2" t="inlineStr">
        <is>
          <t>NO-LOGS / NO-BOARDS / NO-FUEL - the stock went negative: the plan is invalid from that day.  HUNGER, COLD, BREACH, DARK-TRIP - health losses.</t>
        </is>
      </c>
    </row>
    <row r="29">
      <c r="A29" s="2" t="inlineStr"/>
    </row>
    <row r="30">
      <c r="A30" s="3" t="inlineStr">
        <is>
          <t>Reference plan</t>
        </is>
      </c>
    </row>
    <row r="31">
      <c r="A31" s="2" t="inlineStr">
        <is>
          <t>The pre-filled plan was generated by a greedy planner on 2026-09-06: it survives 44/44 days with final health 42.</t>
        </is>
      </c>
    </row>
    <row r="32">
      <c r="A32" s="2" t="inlineStr">
        <is>
          <t>It visits the shop four times, the clinic, the garage and six near residential houses; the far houses are left for a third pair of hands. Try: add Oleg on day 8 (People) and send him to R07-R12; light a second stove; skip the clinic and chop instead.</t>
        </is>
      </c>
    </row>
    <row r="33">
      <c r="A33" s="2" t="inlineStr"/>
    </row>
    <row r="34">
      <c r="A34" s="3" t="inlineStr">
        <is>
          <t>Not in this model yet (design has them)</t>
        </is>
      </c>
    </row>
    <row r="35">
      <c r="A35" s="2" t="inlineStr">
        <is>
          <t>Per-person health and wounds; heat per room with area and windows (one base temperature here); two defence lines (one perimeter pool here); survivors' own food stash; half rations.</t>
        </is>
      </c>
    </row>
    <row r="36">
      <c r="A36" s="2" t="inlineStr"/>
    </row>
    <row r="37">
      <c r="A37" s="3" t="inlineStr">
        <is>
          <t>Technical</t>
        </is>
      </c>
    </row>
    <row r="38">
      <c r="A38" s="2" t="inlineStr">
        <is>
          <t>Generated with openpyxl without cached values: Excel computes every formula on open (press F9 if anything shows 0). All numbers are design assumptions, not sourced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2"/>
  <sheetViews>
    <sheetView workbookViewId="0">
      <pane xSplit="7" ySplit="8" topLeftCell="H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8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8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9" customWidth="1" min="47" max="47"/>
    <col width="8" customWidth="1" min="48" max="48"/>
    <col width="8" customWidth="1" min="49" max="49"/>
    <col width="30" customWidth="1" min="50" max="50"/>
  </cols>
  <sheetData>
    <row r="1">
      <c r="A1" s="1" t="inlineStr">
        <is>
          <t>30 Nights - balance model v1.1 (two runners a day, 17 houses, damage carries over). Paper prototype: one row = one day.</t>
        </is>
      </c>
    </row>
    <row r="2">
      <c r="A2" s="3" t="inlineStr">
        <is>
          <t>Days alive</t>
        </is>
      </c>
      <c r="B2" s="4">
        <f>COUNTIF(AW9:AW52,"&gt;0")</f>
        <v/>
      </c>
      <c r="D2" s="3" t="inlineStr">
        <is>
          <t>Verdict</t>
        </is>
      </c>
      <c r="E2" s="4">
        <f>IF(B2&gt;=Params!$B$5+Params!$B$6,"SURVIVED","DEAD on day "&amp;(B2+1))</f>
        <v/>
      </c>
      <c r="G2" s="5" t="inlineStr">
        <is>
          <t>HOW TO PLAY: fill the yellow cells day by day (hours per job, holes to repair, up to two expeditions: which house and who runs).</t>
        </is>
      </c>
    </row>
    <row r="3">
      <c r="A3" s="3" t="inlineStr">
        <is>
          <t>Final health</t>
        </is>
      </c>
      <c r="B3" s="4">
        <f>AW52</f>
        <v/>
      </c>
      <c r="D3" s="3" t="inlineStr">
        <is>
          <t>Nights breached</t>
        </is>
      </c>
      <c r="E3" s="4">
        <f>COUNTIF(AU9:AU52,"BREACH")</f>
        <v/>
      </c>
      <c r="G3" s="5" t="inlineStr">
        <is>
          <t>Yellow = your daily plan.  Blue (Params / People / Houses) = the rules of the world.  Black = formulas, do not edit.</t>
        </is>
      </c>
    </row>
    <row r="4">
      <c r="A4" s="3" t="inlineStr">
        <is>
          <t>Min food</t>
        </is>
      </c>
      <c r="B4" s="4">
        <f>MIN(AJ9:AJ52)</f>
        <v/>
      </c>
      <c r="D4" s="3" t="inlineStr">
        <is>
          <t>Cold days</t>
        </is>
      </c>
      <c r="E4" s="4">
        <f>COUNTIF(AV9:AV52,"&lt;"&amp;Params!$B$44)</f>
        <v/>
      </c>
      <c r="G4" s="5" t="inlineStr">
        <is>
          <t>Negative stock or a red flag in Status = the plan breaks that day. Hours slack &lt; 0 = overworked; daylight slack &lt; 0 = chopping or a trip in the dark.</t>
        </is>
      </c>
    </row>
    <row r="5">
      <c r="A5" s="3" t="inlineStr">
        <is>
          <t>Min fuel</t>
        </is>
      </c>
      <c r="B5" s="4">
        <f>MIN(AI9:AI52)</f>
        <v/>
      </c>
      <c r="D5" s="3" t="inlineStr">
        <is>
          <t>Dark trips</t>
        </is>
      </c>
      <c r="E5" s="4">
        <f>COUNTIF(T9:T52,"DARK")</f>
        <v/>
      </c>
      <c r="G5" s="5" t="inlineStr">
        <is>
          <t>Reference plan pre-filled: it survives, with the last assaults breaching. Try more houses (food up, logs down), a third mouth on People, half the stoves.</t>
        </is>
      </c>
    </row>
    <row r="6">
      <c r="A6" s="3" t="inlineStr">
        <is>
          <t>Min boards</t>
        </is>
      </c>
      <c r="B6" s="4">
        <f>MIN(AH9:AH52)</f>
        <v/>
      </c>
      <c r="D6" s="3" t="inlineStr">
        <is>
          <t>Logs chopped</t>
        </is>
      </c>
      <c r="E6" s="4">
        <f>SUMPRODUCT(H9:H52,F9:F52)*Params!$B$24</f>
        <v/>
      </c>
    </row>
    <row r="7">
      <c r="A7" s="3" t="inlineStr">
        <is>
          <t>Min logs</t>
        </is>
      </c>
      <c r="B7" s="4">
        <f>MIN(AG9:AG52)</f>
        <v/>
      </c>
      <c r="D7" s="3" t="inlineStr">
        <is>
          <t>Spare hours (total)</t>
        </is>
      </c>
      <c r="E7" s="4">
        <f>SUM(V9:V52)</f>
        <v/>
      </c>
    </row>
    <row r="8" ht="42" customHeight="1">
      <c r="A8" s="6" t="inlineStr">
        <is>
          <t>Day</t>
        </is>
      </c>
      <c r="B8" s="6" t="inlineStr">
        <is>
          <t>Phase</t>
        </is>
      </c>
      <c r="C8" s="6" t="inlineStr">
        <is>
          <t>Night #</t>
        </is>
      </c>
      <c r="D8" s="6" t="inlineStr">
        <is>
          <t>Daylight (h)</t>
        </is>
      </c>
      <c r="E8" s="6" t="inlineStr">
        <is>
          <t>People</t>
        </is>
      </c>
      <c r="F8" s="6" t="inlineStr">
        <is>
          <t>Team work x</t>
        </is>
      </c>
      <c r="G8" s="6" t="inlineStr">
        <is>
          <t>Hours available</t>
        </is>
      </c>
      <c r="H8" s="6" t="inlineStr">
        <is>
          <t>Chop (h)</t>
        </is>
      </c>
      <c r="I8" s="6" t="inlineStr">
        <is>
          <t>Saw (h)</t>
        </is>
      </c>
      <c r="J8" s="6" t="inlineStr">
        <is>
          <t>Split (h)</t>
        </is>
      </c>
      <c r="K8" s="6" t="inlineStr">
        <is>
          <t>Repair holes (#)</t>
        </is>
      </c>
      <c r="L8" s="6" t="inlineStr">
        <is>
          <t>Reinforce (#)</t>
        </is>
      </c>
      <c r="M8" s="6" t="inlineStr">
        <is>
          <t>Build sections (#)</t>
        </is>
      </c>
      <c r="N8" s="6" t="inlineStr">
        <is>
          <t>Trip 1 house</t>
        </is>
      </c>
      <c r="O8" s="6" t="inlineStr">
        <is>
          <t>Trip 1 person</t>
        </is>
      </c>
      <c r="P8" s="6" t="inlineStr">
        <is>
          <t>Trip 2 house</t>
        </is>
      </c>
      <c r="Q8" s="6" t="inlineStr">
        <is>
          <t>Trip 2 person</t>
        </is>
      </c>
      <c r="R8" s="6" t="inlineStr">
        <is>
          <t>Trip 1 (h)</t>
        </is>
      </c>
      <c r="S8" s="6" t="inlineStr">
        <is>
          <t>Trip 2 (h)</t>
        </is>
      </c>
      <c r="T8" s="6" t="inlineStr">
        <is>
          <t>Trip check</t>
        </is>
      </c>
      <c r="U8" s="6" t="inlineStr">
        <is>
          <t>Hours used</t>
        </is>
      </c>
      <c r="V8" s="6" t="inlineStr">
        <is>
          <t>Hours slack</t>
        </is>
      </c>
      <c r="W8" s="6" t="inlineStr">
        <is>
          <t>Daylight slack</t>
        </is>
      </c>
      <c r="X8" s="6" t="inlineStr">
        <is>
          <t>Stoves lit</t>
        </is>
      </c>
      <c r="Y8" s="6" t="inlineStr">
        <is>
          <t>Carry 1</t>
        </is>
      </c>
      <c r="Z8" s="6" t="inlineStr">
        <is>
          <t>Food haul 1</t>
        </is>
      </c>
      <c r="AA8" s="6" t="inlineStr">
        <is>
          <t>Boards haul 1</t>
        </is>
      </c>
      <c r="AB8" s="6" t="inlineStr">
        <is>
          <t>Meds haul 1</t>
        </is>
      </c>
      <c r="AC8" s="6" t="inlineStr">
        <is>
          <t>Carry 2</t>
        </is>
      </c>
      <c r="AD8" s="6" t="inlineStr">
        <is>
          <t>Food haul 2</t>
        </is>
      </c>
      <c r="AE8" s="6" t="inlineStr">
        <is>
          <t>Boards haul 2</t>
        </is>
      </c>
      <c r="AF8" s="6" t="inlineStr">
        <is>
          <t>Meds haul 2</t>
        </is>
      </c>
      <c r="AG8" s="6" t="inlineStr">
        <is>
          <t>Logs</t>
        </is>
      </c>
      <c r="AH8" s="6" t="inlineStr">
        <is>
          <t>Boards</t>
        </is>
      </c>
      <c r="AI8" s="6" t="inlineStr">
        <is>
          <t>Fuel</t>
        </is>
      </c>
      <c r="AJ8" s="6" t="inlineStr">
        <is>
          <t>Food</t>
        </is>
      </c>
      <c r="AK8" s="6" t="inlineStr">
        <is>
          <t>Meds</t>
        </is>
      </c>
      <c r="AL8" s="6" t="inlineStr">
        <is>
          <t>Missing sections</t>
        </is>
      </c>
      <c r="AM8" s="6" t="inlineStr">
        <is>
          <t>Holes (before night)</t>
        </is>
      </c>
      <c r="AN8" s="6" t="inlineStr">
        <is>
          <t>Buffer hp (before)</t>
        </is>
      </c>
      <c r="AO8" s="6" t="inlineStr">
        <is>
          <t>Attackers</t>
        </is>
      </c>
      <c r="AP8" s="6" t="inlineStr">
        <is>
          <t>Damage</t>
        </is>
      </c>
      <c r="AQ8" s="6" t="inlineStr">
        <is>
          <t>Buffer hp (after)</t>
        </is>
      </c>
      <c r="AR8" s="6" t="inlineStr">
        <is>
          <t>New holes</t>
        </is>
      </c>
      <c r="AS8" s="6" t="inlineStr">
        <is>
          <t>Damage carry (hp)</t>
        </is>
      </c>
      <c r="AT8" s="6" t="inlineStr">
        <is>
          <t>Holes (after night)</t>
        </is>
      </c>
      <c r="AU8" s="6" t="inlineStr">
        <is>
          <t>Breach</t>
        </is>
      </c>
      <c r="AV8" s="6" t="inlineStr">
        <is>
          <t>Temp inside (C)</t>
        </is>
      </c>
      <c r="AW8" s="6" t="inlineStr">
        <is>
          <t>Health</t>
        </is>
      </c>
      <c r="AX8" s="6" t="inlineStr">
        <is>
          <t>Status</t>
        </is>
      </c>
    </row>
    <row r="9">
      <c r="A9" s="7" t="n">
        <v>1</v>
      </c>
      <c r="B9" s="8">
        <f>IF(A9&lt;=Params!$B$5,"prep","night")</f>
        <v/>
      </c>
      <c r="C9" s="8">
        <f>MAX(0,A9-Params!$B$5)</f>
        <v/>
      </c>
      <c r="D9" s="9">
        <f>IF(A9&lt;=Params!$B$5,ROUND(Params!$B$7-(Params!$B$7-Params!$B$8)*(A9-1)/(Params!$B$5-1),1),0)</f>
        <v/>
      </c>
      <c r="E9" s="8">
        <f>COUNTIFS(People!$F$2:$F$7,"&lt;="&amp;A9,People!$F$2:$F$7,"&gt;0")</f>
        <v/>
      </c>
      <c r="F9" s="10">
        <f>IF(E9=0,1,SUMIFS(People!$C$2:$C$7,People!$F$2:$F$7,"&lt;="&amp;A9,People!$F$2:$F$7,"&gt;0")/E9)</f>
        <v/>
      </c>
      <c r="G9" s="9">
        <f>E9*Params!$B$9</f>
        <v/>
      </c>
      <c r="H9" s="11" t="n">
        <v>4.6</v>
      </c>
      <c r="I9" s="11" t="n">
        <v>2</v>
      </c>
      <c r="J9" s="11" t="n">
        <v>1</v>
      </c>
      <c r="K9" s="12" t="n">
        <v>1</v>
      </c>
      <c r="L9" s="12" t="n">
        <v>0</v>
      </c>
      <c r="M9" s="12" t="n">
        <v>1</v>
      </c>
      <c r="N9" s="12" t="inlineStr">
        <is>
          <t>SHOP</t>
        </is>
      </c>
      <c r="O9" s="12" t="inlineStr">
        <is>
          <t>A</t>
        </is>
      </c>
      <c r="P9" s="12" t="inlineStr">
        <is>
          <t>CLINIC</t>
        </is>
      </c>
      <c r="Q9" s="12" t="inlineStr">
        <is>
          <t>B</t>
        </is>
      </c>
      <c r="R9" s="9">
        <f>IF(N9="",0,(2*INDEX(Houses!$D$2:$D$18,MATCH(N9,Houses!$A$2:$A$18,0))+Params!$B$57)/IF(O9="",1,INDEX(People!$D$2:$D$7,MATCH(O9,People!$A$2:$A$7,0))))</f>
        <v/>
      </c>
      <c r="S9" s="9">
        <f>IF(P9="",0,(2*INDEX(Houses!$D$2:$D$18,MATCH(P9,Houses!$A$2:$A$18,0))+Params!$B$57)/IF(Q9="",1,INDEX(People!$D$2:$D$7,MATCH(Q9,People!$A$2:$A$7,0))))</f>
        <v/>
      </c>
      <c r="T9" s="8">
        <f>IF(AND(N9="",P9=""),"",IF(MAX(R9,S9)&lt;=D9,"ok","DARK"))</f>
        <v/>
      </c>
      <c r="U9" s="9">
        <f>H9+I9+J9+K9*Params!$B$32+L9*Params!$B$34+M9*Params!$B$37+R9+S9</f>
        <v/>
      </c>
      <c r="V9" s="9">
        <f>G9-U9</f>
        <v/>
      </c>
      <c r="W9" s="9">
        <f>D9*E9-(H9+R9+S9)</f>
        <v/>
      </c>
      <c r="X9" s="12" t="n">
        <v>1</v>
      </c>
      <c r="Y9" s="8">
        <f>IF(N9="",0,IF(O9="",8,INDEX(People!$E$2:$E$7,MATCH(O9,People!$A$2:$A$7,0))))</f>
        <v/>
      </c>
      <c r="Z9" s="8">
        <f>IF(N9="",0,MAX(0,MIN(INDEX(Houses!$E$2:$E$18,MATCH(N9,Houses!$A$2:$A$18,0))-IF(INDEX(Houses!$H$2:$H$18,MATCH(N9,Houses!$A$2:$A$18,0))=1,SUMIF($N$8:N8,N9,$Z$8:Z8)+SUMIF($P$8:P8,N9,$AD$8:AD8),0),Y9)))</f>
        <v/>
      </c>
      <c r="AA9" s="8">
        <f>IF(N9="",0,MAX(0,MIN(INDEX(Houses!$F$2:$F$18,MATCH(N9,Houses!$A$2:$A$18,0))-IF(INDEX(Houses!$H$2:$H$18,MATCH(N9,Houses!$A$2:$A$18,0))=1,SUMIF($N$8:N8,N9,$AA$8:AA8)+SUMIF($P$8:P8,N9,$AE$8:AE8),0),INT((Y9-Z9)/2))))</f>
        <v/>
      </c>
      <c r="AB9" s="8">
        <f>IF(N9="",0,MAX(0,INDEX(Houses!$G$2:$G$18,MATCH(N9,Houses!$A$2:$A$18,0))-IF(INDEX(Houses!$H$2:$H$18,MATCH(N9,Houses!$A$2:$A$18,0))=1,SUMIF($N$8:N8,N9,$AB$8:AB8)+SUMIF($P$8:P8,N9,$AF$8:AF8),0)))</f>
        <v/>
      </c>
      <c r="AC9" s="8">
        <f>IF(P9="",0,IF(Q9="",8,INDEX(People!$E$2:$E$7,MATCH(Q9,People!$A$2:$A$7,0))))</f>
        <v/>
      </c>
      <c r="AD9" s="8">
        <f>IF(P9="",0,MAX(0,MIN(INDEX(Houses!$E$2:$E$18,MATCH(P9,Houses!$A$2:$A$18,0))-IF(INDEX(Houses!$H$2:$H$18,MATCH(P9,Houses!$A$2:$A$18,0))=1,SUMIF($P$8:P8,P9,$AD$8:AD8)+SUMIF($N$8:N8,P9,$Z$8:Z8)+IF(N9=P9,Z9,0),0),AC9)))</f>
        <v/>
      </c>
      <c r="AE9" s="8">
        <f>IF(P9="",0,MAX(0,MIN(INDEX(Houses!$F$2:$F$18,MATCH(P9,Houses!$A$2:$A$18,0))-IF(INDEX(Houses!$H$2:$H$18,MATCH(P9,Houses!$A$2:$A$18,0))=1,SUMIF($P$8:P8,P9,$AE$8:AE8)+SUMIF($N$8:N8,P9,$AA$8:AA8)+IF(N9=P9,AA9,0),0),INT((AC9-AD9)/2))))</f>
        <v/>
      </c>
      <c r="AF9" s="8">
        <f>IF(P9="",0,MAX(0,INDEX(Houses!$G$2:$G$18,MATCH(P9,Houses!$A$2:$A$18,0))-IF(INDEX(Houses!$H$2:$H$18,MATCH(P9,Houses!$A$2:$A$18,0))=1,SUMIF($P$8:P8,P9,$AF$8:AF8)+SUMIF($N$8:N8,P9,$AB$8:AB8)+IF(N9=P9,AB9,0),0)))</f>
        <v/>
      </c>
      <c r="AG9" s="9">
        <f>Params!$B$14+H9*Params!$B$24*F9-I9*Params!$B$25-J9*Params!$B$27</f>
        <v/>
      </c>
      <c r="AH9" s="9">
        <f>Params!$B$13+I9*Params!$B$25*Params!$B$26-K9*Params!$B$31-L9*Params!$B$33-M9*Params!$B$36+AA9+AE9</f>
        <v/>
      </c>
      <c r="AI9" s="9">
        <f>Params!$B$12+J9*Params!$B$27*Params!$B$28-X9*Params!$B$43*24</f>
        <v/>
      </c>
      <c r="AJ9" s="9">
        <f>Params!$B$11-E9*Params!$B$22+Z9+AD9</f>
        <v/>
      </c>
      <c r="AK9" s="8">
        <f>Params!$B$15+AB9+AF9</f>
        <v/>
      </c>
      <c r="AL9" s="8">
        <f>MAX(0,Params!$B$17-M9)</f>
        <v/>
      </c>
      <c r="AM9" s="8">
        <f>MAX(0,Params!$B$18-K9)</f>
        <v/>
      </c>
      <c r="AN9" s="9">
        <f>Params!$B$19+L9*Params!$B$35</f>
        <v/>
      </c>
      <c r="AO9" s="8">
        <f>IF(C9=0,0,INDEX(Nights!$B$2:$B$31,C9))</f>
        <v/>
      </c>
      <c r="AP9" s="9">
        <f>AO9*Params!$B$51*Params!$B$50</f>
        <v/>
      </c>
      <c r="AQ9" s="9">
        <f>MAX(0,AN9-AP9)</f>
        <v/>
      </c>
      <c r="AR9" s="8">
        <f>INT((Params!$B$20+MAX(0,AP9-AN9))/Params!$B$30)</f>
        <v/>
      </c>
      <c r="AS9" s="9">
        <f>(Params!$B$20+MAX(0,AP9-AN9))-AR9*Params!$B$30</f>
        <v/>
      </c>
      <c r="AT9" s="8">
        <f>AM9+AR9</f>
        <v/>
      </c>
      <c r="AU9" s="8">
        <f>IF(AND(AO9&gt;0,OR(AM9+AL9&gt;0,AR9&gt;0)),"BREACH","")</f>
        <v/>
      </c>
      <c r="AV9" s="13">
        <f>Params!$B$40+IF(AI9&lt;0,0,X9)*Params!$B$41-(AM9+AL9)*Params!$B$42</f>
        <v/>
      </c>
      <c r="AW9" s="9">
        <f>MAX(0,MIN(100,Params!$B$16-IF(AV9&lt;Params!$B$44,(Params!$B$44-AV9)*Params!$B$45,0)-IF(AJ9&lt;0,Params!$B$54,0)-IF(AU9="BREACH",Params!$B$53,0)-IF(T9="DARK",Params!$B$55,0)))</f>
        <v/>
      </c>
      <c r="AX9" s="8">
        <f>IF(AW9&lt;=0,"DEAD",TRIM(IF(V9&lt;0,"OVERWORK ","")&amp;IF(W9&lt;0,"NO-DAYLIGHT ","")&amp;IF(AG9&lt;0,"NO-LOGS ","")&amp;IF(AH9&lt;0,"NO-BOARDS ","")&amp;IF(AI9&lt;0,"NO-FUEL ","")&amp;IF(AJ9&lt;0,"HUNGER ","")&amp;AU9&amp;" "&amp;IF(T9="DARK","DARK-TRIP ","")&amp;IF(AV9&lt;Params!$B$44,"COLD","")))</f>
        <v/>
      </c>
    </row>
    <row r="10">
      <c r="A10" s="7" t="n">
        <v>2</v>
      </c>
      <c r="B10" s="8">
        <f>IF(A10&lt;=Params!$B$5,"prep","night")</f>
        <v/>
      </c>
      <c r="C10" s="8">
        <f>MAX(0,A10-Params!$B$5)</f>
        <v/>
      </c>
      <c r="D10" s="9">
        <f>IF(A10&lt;=Params!$B$5,ROUND(Params!$B$7-(Params!$B$7-Params!$B$8)*(A10-1)/(Params!$B$5-1),1),0)</f>
        <v/>
      </c>
      <c r="E10" s="8">
        <f>COUNTIFS(People!$F$2:$F$7,"&lt;="&amp;A10,People!$F$2:$F$7,"&gt;0")</f>
        <v/>
      </c>
      <c r="F10" s="10">
        <f>IF(E10=0,1,SUMIFS(People!$C$2:$C$7,People!$F$2:$F$7,"&lt;="&amp;A10,People!$F$2:$F$7,"&gt;0")/E10)</f>
        <v/>
      </c>
      <c r="G10" s="9">
        <f>E10*Params!$B$9</f>
        <v/>
      </c>
      <c r="H10" s="11" t="n">
        <v>5.1</v>
      </c>
      <c r="I10" s="11" t="n">
        <v>6</v>
      </c>
      <c r="J10" s="11" t="n">
        <v>1</v>
      </c>
      <c r="K10" s="12" t="n">
        <v>1</v>
      </c>
      <c r="L10" s="12" t="n">
        <v>0</v>
      </c>
      <c r="M10" s="12" t="n">
        <v>0</v>
      </c>
      <c r="N10" s="12" t="inlineStr">
        <is>
          <t>SHOP</t>
        </is>
      </c>
      <c r="O10" s="12" t="inlineStr">
        <is>
          <t>A</t>
        </is>
      </c>
      <c r="P10" s="12" t="inlineStr">
        <is>
          <t>GARAGE</t>
        </is>
      </c>
      <c r="Q10" s="12" t="inlineStr">
        <is>
          <t>B</t>
        </is>
      </c>
      <c r="R10" s="9">
        <f>IF(N10="",0,(2*INDEX(Houses!$D$2:$D$18,MATCH(N10,Houses!$A$2:$A$18,0))+Params!$B$57)/IF(O10="",1,INDEX(People!$D$2:$D$7,MATCH(O10,People!$A$2:$A$7,0))))</f>
        <v/>
      </c>
      <c r="S10" s="9">
        <f>IF(P10="",0,(2*INDEX(Houses!$D$2:$D$18,MATCH(P10,Houses!$A$2:$A$18,0))+Params!$B$57)/IF(Q10="",1,INDEX(People!$D$2:$D$7,MATCH(Q10,People!$A$2:$A$7,0))))</f>
        <v/>
      </c>
      <c r="T10" s="8">
        <f>IF(AND(N10="",P10=""),"",IF(MAX(R10,S10)&lt;=D10,"ok","DARK"))</f>
        <v/>
      </c>
      <c r="U10" s="9">
        <f>H10+I10+J10+K10*Params!$B$32+L10*Params!$B$34+M10*Params!$B$37+R10+S10</f>
        <v/>
      </c>
      <c r="V10" s="9">
        <f>G10-U10</f>
        <v/>
      </c>
      <c r="W10" s="9">
        <f>D10*E10-(H10+R10+S10)</f>
        <v/>
      </c>
      <c r="X10" s="12" t="n">
        <v>1</v>
      </c>
      <c r="Y10" s="8">
        <f>IF(N10="",0,IF(O10="",8,INDEX(People!$E$2:$E$7,MATCH(O10,People!$A$2:$A$7,0))))</f>
        <v/>
      </c>
      <c r="Z10" s="8">
        <f>IF(N10="",0,MAX(0,MIN(INDEX(Houses!$E$2:$E$18,MATCH(N10,Houses!$A$2:$A$18,0))-IF(INDEX(Houses!$H$2:$H$18,MATCH(N10,Houses!$A$2:$A$18,0))=1,SUMIF($N$8:N9,N10,$Z$8:Z9)+SUMIF($P$8:P9,N10,$AD$8:AD9),0),Y10)))</f>
        <v/>
      </c>
      <c r="AA10" s="8">
        <f>IF(N10="",0,MAX(0,MIN(INDEX(Houses!$F$2:$F$18,MATCH(N10,Houses!$A$2:$A$18,0))-IF(INDEX(Houses!$H$2:$H$18,MATCH(N10,Houses!$A$2:$A$18,0))=1,SUMIF($N$8:N9,N10,$AA$8:AA9)+SUMIF($P$8:P9,N10,$AE$8:AE9),0),INT((Y10-Z10)/2))))</f>
        <v/>
      </c>
      <c r="AB10" s="8">
        <f>IF(N10="",0,MAX(0,INDEX(Houses!$G$2:$G$18,MATCH(N10,Houses!$A$2:$A$18,0))-IF(INDEX(Houses!$H$2:$H$18,MATCH(N10,Houses!$A$2:$A$18,0))=1,SUMIF($N$8:N9,N10,$AB$8:AB9)+SUMIF($P$8:P9,N10,$AF$8:AF9),0)))</f>
        <v/>
      </c>
      <c r="AC10" s="8">
        <f>IF(P10="",0,IF(Q10="",8,INDEX(People!$E$2:$E$7,MATCH(Q10,People!$A$2:$A$7,0))))</f>
        <v/>
      </c>
      <c r="AD10" s="8">
        <f>IF(P10="",0,MAX(0,MIN(INDEX(Houses!$E$2:$E$18,MATCH(P10,Houses!$A$2:$A$18,0))-IF(INDEX(Houses!$H$2:$H$18,MATCH(P10,Houses!$A$2:$A$18,0))=1,SUMIF($P$8:P9,P10,$AD$8:AD9)+SUMIF($N$8:N9,P10,$Z$8:Z9)+IF(N10=P10,Z10,0),0),AC10)))</f>
        <v/>
      </c>
      <c r="AE10" s="8">
        <f>IF(P10="",0,MAX(0,MIN(INDEX(Houses!$F$2:$F$18,MATCH(P10,Houses!$A$2:$A$18,0))-IF(INDEX(Houses!$H$2:$H$18,MATCH(P10,Houses!$A$2:$A$18,0))=1,SUMIF($P$8:P9,P10,$AE$8:AE9)+SUMIF($N$8:N9,P10,$AA$8:AA9)+IF(N10=P10,AA10,0),0),INT((AC10-AD10)/2))))</f>
        <v/>
      </c>
      <c r="AF10" s="8">
        <f>IF(P10="",0,MAX(0,INDEX(Houses!$G$2:$G$18,MATCH(P10,Houses!$A$2:$A$18,0))-IF(INDEX(Houses!$H$2:$H$18,MATCH(P10,Houses!$A$2:$A$18,0))=1,SUMIF($P$8:P9,P10,$AF$8:AF9)+SUMIF($N$8:N9,P10,$AB$8:AB9)+IF(N10=P10,AB10,0),0)))</f>
        <v/>
      </c>
      <c r="AG10" s="9">
        <f>AG9+H10*Params!$B$24*F10-I10*Params!$B$25-J10*Params!$B$27</f>
        <v/>
      </c>
      <c r="AH10" s="9">
        <f>AH9+I10*Params!$B$25*Params!$B$26-K10*Params!$B$31-L10*Params!$B$33-M10*Params!$B$36+AA10+AE10</f>
        <v/>
      </c>
      <c r="AI10" s="9">
        <f>AI9+J10*Params!$B$27*Params!$B$28-X10*Params!$B$43*24</f>
        <v/>
      </c>
      <c r="AJ10" s="9">
        <f>AJ9-E10*Params!$B$22+Z10+AD10</f>
        <v/>
      </c>
      <c r="AK10" s="8">
        <f>AK9+AB10+AF10</f>
        <v/>
      </c>
      <c r="AL10" s="8">
        <f>MAX(0,AL9-M10)</f>
        <v/>
      </c>
      <c r="AM10" s="8">
        <f>MAX(0,AT9-K10)</f>
        <v/>
      </c>
      <c r="AN10" s="9">
        <f>AQ9+L10*Params!$B$35</f>
        <v/>
      </c>
      <c r="AO10" s="8">
        <f>IF(C10=0,0,INDEX(Nights!$B$2:$B$31,C10))</f>
        <v/>
      </c>
      <c r="AP10" s="9">
        <f>AO10*Params!$B$51*Params!$B$50</f>
        <v/>
      </c>
      <c r="AQ10" s="9">
        <f>MAX(0,AN10-AP10)</f>
        <v/>
      </c>
      <c r="AR10" s="8">
        <f>INT((AS9+MAX(0,AP10-AN10))/Params!$B$30)</f>
        <v/>
      </c>
      <c r="AS10" s="9">
        <f>(AS9+MAX(0,AP10-AN10))-AR10*Params!$B$30</f>
        <v/>
      </c>
      <c r="AT10" s="8">
        <f>AM10+AR10</f>
        <v/>
      </c>
      <c r="AU10" s="8">
        <f>IF(AND(AO10&gt;0,OR(AM10+AL10&gt;0,AR10&gt;0)),"BREACH","")</f>
        <v/>
      </c>
      <c r="AV10" s="13">
        <f>Params!$B$40+IF(AI10&lt;0,0,X10)*Params!$B$41-(AM10+AL10)*Params!$B$42</f>
        <v/>
      </c>
      <c r="AW10" s="9">
        <f>MAX(0,MIN(100,AW9-IF(AV10&lt;Params!$B$44,(Params!$B$44-AV10)*Params!$B$45,0)-IF(AJ10&lt;0,Params!$B$54,0)-IF(AU10="BREACH",Params!$B$53,0)-IF(T10="DARK",Params!$B$55,0)))</f>
        <v/>
      </c>
      <c r="AX10" s="8">
        <f>IF(AW10&lt;=0,"DEAD",TRIM(IF(V10&lt;0,"OVERWORK ","")&amp;IF(W10&lt;0,"NO-DAYLIGHT ","")&amp;IF(AG10&lt;0,"NO-LOGS ","")&amp;IF(AH10&lt;0,"NO-BOARDS ","")&amp;IF(AI10&lt;0,"NO-FUEL ","")&amp;IF(AJ10&lt;0,"HUNGER ","")&amp;AU10&amp;" "&amp;IF(T10="DARK","DARK-TRIP ","")&amp;IF(AV10&lt;Params!$B$44,"COLD","")))</f>
        <v/>
      </c>
    </row>
    <row r="11">
      <c r="A11" s="7" t="n">
        <v>3</v>
      </c>
      <c r="B11" s="8">
        <f>IF(A11&lt;=Params!$B$5,"prep","night")</f>
        <v/>
      </c>
      <c r="C11" s="8">
        <f>MAX(0,A11-Params!$B$5)</f>
        <v/>
      </c>
      <c r="D11" s="9">
        <f>IF(A11&lt;=Params!$B$5,ROUND(Params!$B$7-(Params!$B$7-Params!$B$8)*(A11-1)/(Params!$B$5-1),1),0)</f>
        <v/>
      </c>
      <c r="E11" s="8">
        <f>COUNTIFS(People!$F$2:$F$7,"&lt;="&amp;A11,People!$F$2:$F$7,"&gt;0")</f>
        <v/>
      </c>
      <c r="F11" s="10">
        <f>IF(E11=0,1,SUMIFS(People!$C$2:$C$7,People!$F$2:$F$7,"&lt;="&amp;A11,People!$F$2:$F$7,"&gt;0")/E11)</f>
        <v/>
      </c>
      <c r="G11" s="9">
        <f>E11*Params!$B$9</f>
        <v/>
      </c>
      <c r="H11" s="11" t="n">
        <v>5.4</v>
      </c>
      <c r="I11" s="11" t="n">
        <v>5</v>
      </c>
      <c r="J11" s="11" t="n">
        <v>2</v>
      </c>
      <c r="K11" s="12" t="n">
        <v>0</v>
      </c>
      <c r="L11" s="12" t="n">
        <v>0</v>
      </c>
      <c r="M11" s="12" t="n">
        <v>1</v>
      </c>
      <c r="N11" s="12" t="inlineStr">
        <is>
          <t>SHOP</t>
        </is>
      </c>
      <c r="O11" s="12" t="inlineStr">
        <is>
          <t>A</t>
        </is>
      </c>
      <c r="P11" s="12" t="inlineStr">
        <is>
          <t>R03</t>
        </is>
      </c>
      <c r="Q11" s="12" t="inlineStr">
        <is>
          <t>B</t>
        </is>
      </c>
      <c r="R11" s="9">
        <f>IF(N11="",0,(2*INDEX(Houses!$D$2:$D$18,MATCH(N11,Houses!$A$2:$A$18,0))+Params!$B$57)/IF(O11="",1,INDEX(People!$D$2:$D$7,MATCH(O11,People!$A$2:$A$7,0))))</f>
        <v/>
      </c>
      <c r="S11" s="9">
        <f>IF(P11="",0,(2*INDEX(Houses!$D$2:$D$18,MATCH(P11,Houses!$A$2:$A$18,0))+Params!$B$57)/IF(Q11="",1,INDEX(People!$D$2:$D$7,MATCH(Q11,People!$A$2:$A$7,0))))</f>
        <v/>
      </c>
      <c r="T11" s="8">
        <f>IF(AND(N11="",P11=""),"",IF(MAX(R11,S11)&lt;=D11,"ok","DARK"))</f>
        <v/>
      </c>
      <c r="U11" s="9">
        <f>H11+I11+J11+K11*Params!$B$32+L11*Params!$B$34+M11*Params!$B$37+R11+S11</f>
        <v/>
      </c>
      <c r="V11" s="9">
        <f>G11-U11</f>
        <v/>
      </c>
      <c r="W11" s="9">
        <f>D11*E11-(H11+R11+S11)</f>
        <v/>
      </c>
      <c r="X11" s="12" t="n">
        <v>1</v>
      </c>
      <c r="Y11" s="8">
        <f>IF(N11="",0,IF(O11="",8,INDEX(People!$E$2:$E$7,MATCH(O11,People!$A$2:$A$7,0))))</f>
        <v/>
      </c>
      <c r="Z11" s="8">
        <f>IF(N11="",0,MAX(0,MIN(INDEX(Houses!$E$2:$E$18,MATCH(N11,Houses!$A$2:$A$18,0))-IF(INDEX(Houses!$H$2:$H$18,MATCH(N11,Houses!$A$2:$A$18,0))=1,SUMIF($N$8:N10,N11,$Z$8:Z10)+SUMIF($P$8:P10,N11,$AD$8:AD10),0),Y11)))</f>
        <v/>
      </c>
      <c r="AA11" s="8">
        <f>IF(N11="",0,MAX(0,MIN(INDEX(Houses!$F$2:$F$18,MATCH(N11,Houses!$A$2:$A$18,0))-IF(INDEX(Houses!$H$2:$H$18,MATCH(N11,Houses!$A$2:$A$18,0))=1,SUMIF($N$8:N10,N11,$AA$8:AA10)+SUMIF($P$8:P10,N11,$AE$8:AE10),0),INT((Y11-Z11)/2))))</f>
        <v/>
      </c>
      <c r="AB11" s="8">
        <f>IF(N11="",0,MAX(0,INDEX(Houses!$G$2:$G$18,MATCH(N11,Houses!$A$2:$A$18,0))-IF(INDEX(Houses!$H$2:$H$18,MATCH(N11,Houses!$A$2:$A$18,0))=1,SUMIF($N$8:N10,N11,$AB$8:AB10)+SUMIF($P$8:P10,N11,$AF$8:AF10),0)))</f>
        <v/>
      </c>
      <c r="AC11" s="8">
        <f>IF(P11="",0,IF(Q11="",8,INDEX(People!$E$2:$E$7,MATCH(Q11,People!$A$2:$A$7,0))))</f>
        <v/>
      </c>
      <c r="AD11" s="8">
        <f>IF(P11="",0,MAX(0,MIN(INDEX(Houses!$E$2:$E$18,MATCH(P11,Houses!$A$2:$A$18,0))-IF(INDEX(Houses!$H$2:$H$18,MATCH(P11,Houses!$A$2:$A$18,0))=1,SUMIF($P$8:P10,P11,$AD$8:AD10)+SUMIF($N$8:N10,P11,$Z$8:Z10)+IF(N11=P11,Z11,0),0),AC11)))</f>
        <v/>
      </c>
      <c r="AE11" s="8">
        <f>IF(P11="",0,MAX(0,MIN(INDEX(Houses!$F$2:$F$18,MATCH(P11,Houses!$A$2:$A$18,0))-IF(INDEX(Houses!$H$2:$H$18,MATCH(P11,Houses!$A$2:$A$18,0))=1,SUMIF($P$8:P10,P11,$AE$8:AE10)+SUMIF($N$8:N10,P11,$AA$8:AA10)+IF(N11=P11,AA11,0),0),INT((AC11-AD11)/2))))</f>
        <v/>
      </c>
      <c r="AF11" s="8">
        <f>IF(P11="",0,MAX(0,INDEX(Houses!$G$2:$G$18,MATCH(P11,Houses!$A$2:$A$18,0))-IF(INDEX(Houses!$H$2:$H$18,MATCH(P11,Houses!$A$2:$A$18,0))=1,SUMIF($P$8:P10,P11,$AF$8:AF10)+SUMIF($N$8:N10,P11,$AB$8:AB10)+IF(N11=P11,AB11,0),0)))</f>
        <v/>
      </c>
      <c r="AG11" s="9">
        <f>AG10+H11*Params!$B$24*F11-I11*Params!$B$25-J11*Params!$B$27</f>
        <v/>
      </c>
      <c r="AH11" s="9">
        <f>AH10+I11*Params!$B$25*Params!$B$26-K11*Params!$B$31-L11*Params!$B$33-M11*Params!$B$36+AA11+AE11</f>
        <v/>
      </c>
      <c r="AI11" s="9">
        <f>AI10+J11*Params!$B$27*Params!$B$28-X11*Params!$B$43*24</f>
        <v/>
      </c>
      <c r="AJ11" s="9">
        <f>AJ10-E11*Params!$B$22+Z11+AD11</f>
        <v/>
      </c>
      <c r="AK11" s="8">
        <f>AK10+AB11+AF11</f>
        <v/>
      </c>
      <c r="AL11" s="8">
        <f>MAX(0,AL10-M11)</f>
        <v/>
      </c>
      <c r="AM11" s="8">
        <f>MAX(0,AT10-K11)</f>
        <v/>
      </c>
      <c r="AN11" s="9">
        <f>AQ10+L11*Params!$B$35</f>
        <v/>
      </c>
      <c r="AO11" s="8">
        <f>IF(C11=0,0,INDEX(Nights!$B$2:$B$31,C11))</f>
        <v/>
      </c>
      <c r="AP11" s="9">
        <f>AO11*Params!$B$51*Params!$B$50</f>
        <v/>
      </c>
      <c r="AQ11" s="9">
        <f>MAX(0,AN11-AP11)</f>
        <v/>
      </c>
      <c r="AR11" s="8">
        <f>INT((AS10+MAX(0,AP11-AN11))/Params!$B$30)</f>
        <v/>
      </c>
      <c r="AS11" s="9">
        <f>(AS10+MAX(0,AP11-AN11))-AR11*Params!$B$30</f>
        <v/>
      </c>
      <c r="AT11" s="8">
        <f>AM11+AR11</f>
        <v/>
      </c>
      <c r="AU11" s="8">
        <f>IF(AND(AO11&gt;0,OR(AM11+AL11&gt;0,AR11&gt;0)),"BREACH","")</f>
        <v/>
      </c>
      <c r="AV11" s="13">
        <f>Params!$B$40+IF(AI11&lt;0,0,X11)*Params!$B$41-(AM11+AL11)*Params!$B$42</f>
        <v/>
      </c>
      <c r="AW11" s="9">
        <f>MAX(0,MIN(100,AW10-IF(AV11&lt;Params!$B$44,(Params!$B$44-AV11)*Params!$B$45,0)-IF(AJ11&lt;0,Params!$B$54,0)-IF(AU11="BREACH",Params!$B$53,0)-IF(T11="DARK",Params!$B$55,0)))</f>
        <v/>
      </c>
      <c r="AX11" s="8">
        <f>IF(AW11&lt;=0,"DEAD",TRIM(IF(V11&lt;0,"OVERWORK ","")&amp;IF(W11&lt;0,"NO-DAYLIGHT ","")&amp;IF(AG11&lt;0,"NO-LOGS ","")&amp;IF(AH11&lt;0,"NO-BOARDS ","")&amp;IF(AI11&lt;0,"NO-FUEL ","")&amp;IF(AJ11&lt;0,"HUNGER ","")&amp;AU11&amp;" "&amp;IF(T11="DARK","DARK-TRIP ","")&amp;IF(AV11&lt;Params!$B$44,"COLD","")))</f>
        <v/>
      </c>
    </row>
    <row r="12">
      <c r="A12" s="7" t="n">
        <v>4</v>
      </c>
      <c r="B12" s="8">
        <f>IF(A12&lt;=Params!$B$5,"prep","night")</f>
        <v/>
      </c>
      <c r="C12" s="8">
        <f>MAX(0,A12-Params!$B$5)</f>
        <v/>
      </c>
      <c r="D12" s="9">
        <f>IF(A12&lt;=Params!$B$5,ROUND(Params!$B$7-(Params!$B$7-Params!$B$8)*(A12-1)/(Params!$B$5-1),1),0)</f>
        <v/>
      </c>
      <c r="E12" s="8">
        <f>COUNTIFS(People!$F$2:$F$7,"&lt;="&amp;A12,People!$F$2:$F$7,"&gt;0")</f>
        <v/>
      </c>
      <c r="F12" s="10">
        <f>IF(E12=0,1,SUMIFS(People!$C$2:$C$7,People!$F$2:$F$7,"&lt;="&amp;A12,People!$F$2:$F$7,"&gt;0")/E12)</f>
        <v/>
      </c>
      <c r="G12" s="9">
        <f>E12*Params!$B$9</f>
        <v/>
      </c>
      <c r="H12" s="11" t="n">
        <v>4.4</v>
      </c>
      <c r="I12" s="11" t="n">
        <v>7</v>
      </c>
      <c r="J12" s="11" t="n">
        <v>1</v>
      </c>
      <c r="K12" s="12" t="n">
        <v>0</v>
      </c>
      <c r="L12" s="12" t="n">
        <v>0</v>
      </c>
      <c r="M12" s="12" t="n">
        <v>1</v>
      </c>
      <c r="N12" s="12" t="inlineStr">
        <is>
          <t>SHOP</t>
        </is>
      </c>
      <c r="O12" s="12" t="inlineStr">
        <is>
          <t>A</t>
        </is>
      </c>
      <c r="P12" s="12" t="inlineStr">
        <is>
          <t>R06</t>
        </is>
      </c>
      <c r="Q12" s="12" t="inlineStr">
        <is>
          <t>B</t>
        </is>
      </c>
      <c r="R12" s="9">
        <f>IF(N12="",0,(2*INDEX(Houses!$D$2:$D$18,MATCH(N12,Houses!$A$2:$A$18,0))+Params!$B$57)/IF(O12="",1,INDEX(People!$D$2:$D$7,MATCH(O12,People!$A$2:$A$7,0))))</f>
        <v/>
      </c>
      <c r="S12" s="9">
        <f>IF(P12="",0,(2*INDEX(Houses!$D$2:$D$18,MATCH(P12,Houses!$A$2:$A$18,0))+Params!$B$57)/IF(Q12="",1,INDEX(People!$D$2:$D$7,MATCH(Q12,People!$A$2:$A$7,0))))</f>
        <v/>
      </c>
      <c r="T12" s="8">
        <f>IF(AND(N12="",P12=""),"",IF(MAX(R12,S12)&lt;=D12,"ok","DARK"))</f>
        <v/>
      </c>
      <c r="U12" s="9">
        <f>H12+I12+J12+K12*Params!$B$32+L12*Params!$B$34+M12*Params!$B$37+R12+S12</f>
        <v/>
      </c>
      <c r="V12" s="9">
        <f>G12-U12</f>
        <v/>
      </c>
      <c r="W12" s="9">
        <f>D12*E12-(H12+R12+S12)</f>
        <v/>
      </c>
      <c r="X12" s="12" t="n">
        <v>1</v>
      </c>
      <c r="Y12" s="8">
        <f>IF(N12="",0,IF(O12="",8,INDEX(People!$E$2:$E$7,MATCH(O12,People!$A$2:$A$7,0))))</f>
        <v/>
      </c>
      <c r="Z12" s="8">
        <f>IF(N12="",0,MAX(0,MIN(INDEX(Houses!$E$2:$E$18,MATCH(N12,Houses!$A$2:$A$18,0))-IF(INDEX(Houses!$H$2:$H$18,MATCH(N12,Houses!$A$2:$A$18,0))=1,SUMIF($N$8:N11,N12,$Z$8:Z11)+SUMIF($P$8:P11,N12,$AD$8:AD11),0),Y12)))</f>
        <v/>
      </c>
      <c r="AA12" s="8">
        <f>IF(N12="",0,MAX(0,MIN(INDEX(Houses!$F$2:$F$18,MATCH(N12,Houses!$A$2:$A$18,0))-IF(INDEX(Houses!$H$2:$H$18,MATCH(N12,Houses!$A$2:$A$18,0))=1,SUMIF($N$8:N11,N12,$AA$8:AA11)+SUMIF($P$8:P11,N12,$AE$8:AE11),0),INT((Y12-Z12)/2))))</f>
        <v/>
      </c>
      <c r="AB12" s="8">
        <f>IF(N12="",0,MAX(0,INDEX(Houses!$G$2:$G$18,MATCH(N12,Houses!$A$2:$A$18,0))-IF(INDEX(Houses!$H$2:$H$18,MATCH(N12,Houses!$A$2:$A$18,0))=1,SUMIF($N$8:N11,N12,$AB$8:AB11)+SUMIF($P$8:P11,N12,$AF$8:AF11),0)))</f>
        <v/>
      </c>
      <c r="AC12" s="8">
        <f>IF(P12="",0,IF(Q12="",8,INDEX(People!$E$2:$E$7,MATCH(Q12,People!$A$2:$A$7,0))))</f>
        <v/>
      </c>
      <c r="AD12" s="8">
        <f>IF(P12="",0,MAX(0,MIN(INDEX(Houses!$E$2:$E$18,MATCH(P12,Houses!$A$2:$A$18,0))-IF(INDEX(Houses!$H$2:$H$18,MATCH(P12,Houses!$A$2:$A$18,0))=1,SUMIF($P$8:P11,P12,$AD$8:AD11)+SUMIF($N$8:N11,P12,$Z$8:Z11)+IF(N12=P12,Z12,0),0),AC12)))</f>
        <v/>
      </c>
      <c r="AE12" s="8">
        <f>IF(P12="",0,MAX(0,MIN(INDEX(Houses!$F$2:$F$18,MATCH(P12,Houses!$A$2:$A$18,0))-IF(INDEX(Houses!$H$2:$H$18,MATCH(P12,Houses!$A$2:$A$18,0))=1,SUMIF($P$8:P11,P12,$AE$8:AE11)+SUMIF($N$8:N11,P12,$AA$8:AA11)+IF(N12=P12,AA12,0),0),INT((AC12-AD12)/2))))</f>
        <v/>
      </c>
      <c r="AF12" s="8">
        <f>IF(P12="",0,MAX(0,INDEX(Houses!$G$2:$G$18,MATCH(P12,Houses!$A$2:$A$18,0))-IF(INDEX(Houses!$H$2:$H$18,MATCH(P12,Houses!$A$2:$A$18,0))=1,SUMIF($P$8:P11,P12,$AF$8:AF11)+SUMIF($N$8:N11,P12,$AB$8:AB11)+IF(N12=P12,AB12,0),0)))</f>
        <v/>
      </c>
      <c r="AG12" s="9">
        <f>AG11+H12*Params!$B$24*F12-I12*Params!$B$25-J12*Params!$B$27</f>
        <v/>
      </c>
      <c r="AH12" s="9">
        <f>AH11+I12*Params!$B$25*Params!$B$26-K12*Params!$B$31-L12*Params!$B$33-M12*Params!$B$36+AA12+AE12</f>
        <v/>
      </c>
      <c r="AI12" s="9">
        <f>AI11+J12*Params!$B$27*Params!$B$28-X12*Params!$B$43*24</f>
        <v/>
      </c>
      <c r="AJ12" s="9">
        <f>AJ11-E12*Params!$B$22+Z12+AD12</f>
        <v/>
      </c>
      <c r="AK12" s="8">
        <f>AK11+AB12+AF12</f>
        <v/>
      </c>
      <c r="AL12" s="8">
        <f>MAX(0,AL11-M12)</f>
        <v/>
      </c>
      <c r="AM12" s="8">
        <f>MAX(0,AT11-K12)</f>
        <v/>
      </c>
      <c r="AN12" s="9">
        <f>AQ11+L12*Params!$B$35</f>
        <v/>
      </c>
      <c r="AO12" s="8">
        <f>IF(C12=0,0,INDEX(Nights!$B$2:$B$31,C12))</f>
        <v/>
      </c>
      <c r="AP12" s="9">
        <f>AO12*Params!$B$51*Params!$B$50</f>
        <v/>
      </c>
      <c r="AQ12" s="9">
        <f>MAX(0,AN12-AP12)</f>
        <v/>
      </c>
      <c r="AR12" s="8">
        <f>INT((AS11+MAX(0,AP12-AN12))/Params!$B$30)</f>
        <v/>
      </c>
      <c r="AS12" s="9">
        <f>(AS11+MAX(0,AP12-AN12))-AR12*Params!$B$30</f>
        <v/>
      </c>
      <c r="AT12" s="8">
        <f>AM12+AR12</f>
        <v/>
      </c>
      <c r="AU12" s="8">
        <f>IF(AND(AO12&gt;0,OR(AM12+AL12&gt;0,AR12&gt;0)),"BREACH","")</f>
        <v/>
      </c>
      <c r="AV12" s="13">
        <f>Params!$B$40+IF(AI12&lt;0,0,X12)*Params!$B$41-(AM12+AL12)*Params!$B$42</f>
        <v/>
      </c>
      <c r="AW12" s="9">
        <f>MAX(0,MIN(100,AW11-IF(AV12&lt;Params!$B$44,(Params!$B$44-AV12)*Params!$B$45,0)-IF(AJ12&lt;0,Params!$B$54,0)-IF(AU12="BREACH",Params!$B$53,0)-IF(T12="DARK",Params!$B$55,0)))</f>
        <v/>
      </c>
      <c r="AX12" s="8">
        <f>IF(AW12&lt;=0,"DEAD",TRIM(IF(V12&lt;0,"OVERWORK ","")&amp;IF(W12&lt;0,"NO-DAYLIGHT ","")&amp;IF(AG12&lt;0,"NO-LOGS ","")&amp;IF(AH12&lt;0,"NO-BOARDS ","")&amp;IF(AI12&lt;0,"NO-FUEL ","")&amp;IF(AJ12&lt;0,"HUNGER ","")&amp;AU12&amp;" "&amp;IF(T12="DARK","DARK-TRIP ","")&amp;IF(AV12&lt;Params!$B$44,"COLD","")))</f>
        <v/>
      </c>
    </row>
    <row r="13">
      <c r="A13" s="7" t="n">
        <v>5</v>
      </c>
      <c r="B13" s="8">
        <f>IF(A13&lt;=Params!$B$5,"prep","night")</f>
        <v/>
      </c>
      <c r="C13" s="8">
        <f>MAX(0,A13-Params!$B$5)</f>
        <v/>
      </c>
      <c r="D13" s="9">
        <f>IF(A13&lt;=Params!$B$5,ROUND(Params!$B$7-(Params!$B$7-Params!$B$8)*(A13-1)/(Params!$B$5-1),1),0)</f>
        <v/>
      </c>
      <c r="E13" s="8">
        <f>COUNTIFS(People!$F$2:$F$7,"&lt;="&amp;A13,People!$F$2:$F$7,"&gt;0")</f>
        <v/>
      </c>
      <c r="F13" s="10">
        <f>IF(E13=0,1,SUMIFS(People!$C$2:$C$7,People!$F$2:$F$7,"&lt;="&amp;A13,People!$F$2:$F$7,"&gt;0")/E13)</f>
        <v/>
      </c>
      <c r="G13" s="9">
        <f>E13*Params!$B$9</f>
        <v/>
      </c>
      <c r="H13" s="11" t="n">
        <v>9.199999999999999</v>
      </c>
      <c r="I13" s="11" t="n">
        <v>8</v>
      </c>
      <c r="J13" s="11" t="n">
        <v>1</v>
      </c>
      <c r="K13" s="12" t="n">
        <v>0</v>
      </c>
      <c r="L13" s="12" t="n">
        <v>0</v>
      </c>
      <c r="M13" s="12" t="n">
        <v>1</v>
      </c>
      <c r="N13" s="12" t="inlineStr">
        <is>
          <t>R05</t>
        </is>
      </c>
      <c r="O13" s="12" t="inlineStr">
        <is>
          <t>B</t>
        </is>
      </c>
      <c r="P13" s="12" t="n"/>
      <c r="Q13" s="12" t="n"/>
      <c r="R13" s="9">
        <f>IF(N13="",0,(2*INDEX(Houses!$D$2:$D$18,MATCH(N13,Houses!$A$2:$A$18,0))+Params!$B$57)/IF(O13="",1,INDEX(People!$D$2:$D$7,MATCH(O13,People!$A$2:$A$7,0))))</f>
        <v/>
      </c>
      <c r="S13" s="9">
        <f>IF(P13="",0,(2*INDEX(Houses!$D$2:$D$18,MATCH(P13,Houses!$A$2:$A$18,0))+Params!$B$57)/IF(Q13="",1,INDEX(People!$D$2:$D$7,MATCH(Q13,People!$A$2:$A$7,0))))</f>
        <v/>
      </c>
      <c r="T13" s="8">
        <f>IF(AND(N13="",P13=""),"",IF(MAX(R13,S13)&lt;=D13,"ok","DARK"))</f>
        <v/>
      </c>
      <c r="U13" s="9">
        <f>H13+I13+J13+K13*Params!$B$32+L13*Params!$B$34+M13*Params!$B$37+R13+S13</f>
        <v/>
      </c>
      <c r="V13" s="9">
        <f>G13-U13</f>
        <v/>
      </c>
      <c r="W13" s="9">
        <f>D13*E13-(H13+R13+S13)</f>
        <v/>
      </c>
      <c r="X13" s="12" t="n">
        <v>1</v>
      </c>
      <c r="Y13" s="8">
        <f>IF(N13="",0,IF(O13="",8,INDEX(People!$E$2:$E$7,MATCH(O13,People!$A$2:$A$7,0))))</f>
        <v/>
      </c>
      <c r="Z13" s="8">
        <f>IF(N13="",0,MAX(0,MIN(INDEX(Houses!$E$2:$E$18,MATCH(N13,Houses!$A$2:$A$18,0))-IF(INDEX(Houses!$H$2:$H$18,MATCH(N13,Houses!$A$2:$A$18,0))=1,SUMIF($N$8:N12,N13,$Z$8:Z12)+SUMIF($P$8:P12,N13,$AD$8:AD12),0),Y13)))</f>
        <v/>
      </c>
      <c r="AA13" s="8">
        <f>IF(N13="",0,MAX(0,MIN(INDEX(Houses!$F$2:$F$18,MATCH(N13,Houses!$A$2:$A$18,0))-IF(INDEX(Houses!$H$2:$H$18,MATCH(N13,Houses!$A$2:$A$18,0))=1,SUMIF($N$8:N12,N13,$AA$8:AA12)+SUMIF($P$8:P12,N13,$AE$8:AE12),0),INT((Y13-Z13)/2))))</f>
        <v/>
      </c>
      <c r="AB13" s="8">
        <f>IF(N13="",0,MAX(0,INDEX(Houses!$G$2:$G$18,MATCH(N13,Houses!$A$2:$A$18,0))-IF(INDEX(Houses!$H$2:$H$18,MATCH(N13,Houses!$A$2:$A$18,0))=1,SUMIF($N$8:N12,N13,$AB$8:AB12)+SUMIF($P$8:P12,N13,$AF$8:AF12),0)))</f>
        <v/>
      </c>
      <c r="AC13" s="8">
        <f>IF(P13="",0,IF(Q13="",8,INDEX(People!$E$2:$E$7,MATCH(Q13,People!$A$2:$A$7,0))))</f>
        <v/>
      </c>
      <c r="AD13" s="8">
        <f>IF(P13="",0,MAX(0,MIN(INDEX(Houses!$E$2:$E$18,MATCH(P13,Houses!$A$2:$A$18,0))-IF(INDEX(Houses!$H$2:$H$18,MATCH(P13,Houses!$A$2:$A$18,0))=1,SUMIF($P$8:P12,P13,$AD$8:AD12)+SUMIF($N$8:N12,P13,$Z$8:Z12)+IF(N13=P13,Z13,0),0),AC13)))</f>
        <v/>
      </c>
      <c r="AE13" s="8">
        <f>IF(P13="",0,MAX(0,MIN(INDEX(Houses!$F$2:$F$18,MATCH(P13,Houses!$A$2:$A$18,0))-IF(INDEX(Houses!$H$2:$H$18,MATCH(P13,Houses!$A$2:$A$18,0))=1,SUMIF($P$8:P12,P13,$AE$8:AE12)+SUMIF($N$8:N12,P13,$AA$8:AA12)+IF(N13=P13,AA13,0),0),INT((AC13-AD13)/2))))</f>
        <v/>
      </c>
      <c r="AF13" s="8">
        <f>IF(P13="",0,MAX(0,INDEX(Houses!$G$2:$G$18,MATCH(P13,Houses!$A$2:$A$18,0))-IF(INDEX(Houses!$H$2:$H$18,MATCH(P13,Houses!$A$2:$A$18,0))=1,SUMIF($P$8:P12,P13,$AF$8:AF12)+SUMIF($N$8:N12,P13,$AB$8:AB12)+IF(N13=P13,AB13,0),0)))</f>
        <v/>
      </c>
      <c r="AG13" s="9">
        <f>AG12+H13*Params!$B$24*F13-I13*Params!$B$25-J13*Params!$B$27</f>
        <v/>
      </c>
      <c r="AH13" s="9">
        <f>AH12+I13*Params!$B$25*Params!$B$26-K13*Params!$B$31-L13*Params!$B$33-M13*Params!$B$36+AA13+AE13</f>
        <v/>
      </c>
      <c r="AI13" s="9">
        <f>AI12+J13*Params!$B$27*Params!$B$28-X13*Params!$B$43*24</f>
        <v/>
      </c>
      <c r="AJ13" s="9">
        <f>AJ12-E13*Params!$B$22+Z13+AD13</f>
        <v/>
      </c>
      <c r="AK13" s="8">
        <f>AK12+AB13+AF13</f>
        <v/>
      </c>
      <c r="AL13" s="8">
        <f>MAX(0,AL12-M13)</f>
        <v/>
      </c>
      <c r="AM13" s="8">
        <f>MAX(0,AT12-K13)</f>
        <v/>
      </c>
      <c r="AN13" s="9">
        <f>AQ12+L13*Params!$B$35</f>
        <v/>
      </c>
      <c r="AO13" s="8">
        <f>IF(C13=0,0,INDEX(Nights!$B$2:$B$31,C13))</f>
        <v/>
      </c>
      <c r="AP13" s="9">
        <f>AO13*Params!$B$51*Params!$B$50</f>
        <v/>
      </c>
      <c r="AQ13" s="9">
        <f>MAX(0,AN13-AP13)</f>
        <v/>
      </c>
      <c r="AR13" s="8">
        <f>INT((AS12+MAX(0,AP13-AN13))/Params!$B$30)</f>
        <v/>
      </c>
      <c r="AS13" s="9">
        <f>(AS12+MAX(0,AP13-AN13))-AR13*Params!$B$30</f>
        <v/>
      </c>
      <c r="AT13" s="8">
        <f>AM13+AR13</f>
        <v/>
      </c>
      <c r="AU13" s="8">
        <f>IF(AND(AO13&gt;0,OR(AM13+AL13&gt;0,AR13&gt;0)),"BREACH","")</f>
        <v/>
      </c>
      <c r="AV13" s="13">
        <f>Params!$B$40+IF(AI13&lt;0,0,X13)*Params!$B$41-(AM13+AL13)*Params!$B$42</f>
        <v/>
      </c>
      <c r="AW13" s="9">
        <f>MAX(0,MIN(100,AW12-IF(AV13&lt;Params!$B$44,(Params!$B$44-AV13)*Params!$B$45,0)-IF(AJ13&lt;0,Params!$B$54,0)-IF(AU13="BREACH",Params!$B$53,0)-IF(T13="DARK",Params!$B$55,0)))</f>
        <v/>
      </c>
      <c r="AX13" s="8">
        <f>IF(AW13&lt;=0,"DEAD",TRIM(IF(V13&lt;0,"OVERWORK ","")&amp;IF(W13&lt;0,"NO-DAYLIGHT ","")&amp;IF(AG13&lt;0,"NO-LOGS ","")&amp;IF(AH13&lt;0,"NO-BOARDS ","")&amp;IF(AI13&lt;0,"NO-FUEL ","")&amp;IF(AJ13&lt;0,"HUNGER ","")&amp;AU13&amp;" "&amp;IF(T13="DARK","DARK-TRIP ","")&amp;IF(AV13&lt;Params!$B$44,"COLD","")))</f>
        <v/>
      </c>
    </row>
    <row r="14">
      <c r="A14" s="7" t="n">
        <v>6</v>
      </c>
      <c r="B14" s="8">
        <f>IF(A14&lt;=Params!$B$5,"prep","night")</f>
        <v/>
      </c>
      <c r="C14" s="8">
        <f>MAX(0,A14-Params!$B$5)</f>
        <v/>
      </c>
      <c r="D14" s="9">
        <f>IF(A14&lt;=Params!$B$5,ROUND(Params!$B$7-(Params!$B$7-Params!$B$8)*(A14-1)/(Params!$B$5-1),1),0)</f>
        <v/>
      </c>
      <c r="E14" s="8">
        <f>COUNTIFS(People!$F$2:$F$7,"&lt;="&amp;A14,People!$F$2:$F$7,"&gt;0")</f>
        <v/>
      </c>
      <c r="F14" s="10">
        <f>IF(E14=0,1,SUMIFS(People!$C$2:$C$7,People!$F$2:$F$7,"&lt;="&amp;A14,People!$F$2:$F$7,"&gt;0")/E14)</f>
        <v/>
      </c>
      <c r="G14" s="9">
        <f>E14*Params!$B$9</f>
        <v/>
      </c>
      <c r="H14" s="11" t="n">
        <v>8.199999999999999</v>
      </c>
      <c r="I14" s="11" t="n">
        <v>1</v>
      </c>
      <c r="J14" s="11" t="n">
        <v>7</v>
      </c>
      <c r="K14" s="12" t="n">
        <v>0</v>
      </c>
      <c r="L14" s="12" t="n">
        <v>0</v>
      </c>
      <c r="M14" s="12" t="n">
        <v>0</v>
      </c>
      <c r="N14" s="12" t="inlineStr">
        <is>
          <t>R04</t>
        </is>
      </c>
      <c r="O14" s="12" t="inlineStr">
        <is>
          <t>B</t>
        </is>
      </c>
      <c r="P14" s="12" t="n"/>
      <c r="Q14" s="12" t="n"/>
      <c r="R14" s="9">
        <f>IF(N14="",0,(2*INDEX(Houses!$D$2:$D$18,MATCH(N14,Houses!$A$2:$A$18,0))+Params!$B$57)/IF(O14="",1,INDEX(People!$D$2:$D$7,MATCH(O14,People!$A$2:$A$7,0))))</f>
        <v/>
      </c>
      <c r="S14" s="9">
        <f>IF(P14="",0,(2*INDEX(Houses!$D$2:$D$18,MATCH(P14,Houses!$A$2:$A$18,0))+Params!$B$57)/IF(Q14="",1,INDEX(People!$D$2:$D$7,MATCH(Q14,People!$A$2:$A$7,0))))</f>
        <v/>
      </c>
      <c r="T14" s="8">
        <f>IF(AND(N14="",P14=""),"",IF(MAX(R14,S14)&lt;=D14,"ok","DARK"))</f>
        <v/>
      </c>
      <c r="U14" s="9">
        <f>H14+I14+J14+K14*Params!$B$32+L14*Params!$B$34+M14*Params!$B$37+R14+S14</f>
        <v/>
      </c>
      <c r="V14" s="9">
        <f>G14-U14</f>
        <v/>
      </c>
      <c r="W14" s="9">
        <f>D14*E14-(H14+R14+S14)</f>
        <v/>
      </c>
      <c r="X14" s="12" t="n">
        <v>1</v>
      </c>
      <c r="Y14" s="8">
        <f>IF(N14="",0,IF(O14="",8,INDEX(People!$E$2:$E$7,MATCH(O14,People!$A$2:$A$7,0))))</f>
        <v/>
      </c>
      <c r="Z14" s="8">
        <f>IF(N14="",0,MAX(0,MIN(INDEX(Houses!$E$2:$E$18,MATCH(N14,Houses!$A$2:$A$18,0))-IF(INDEX(Houses!$H$2:$H$18,MATCH(N14,Houses!$A$2:$A$18,0))=1,SUMIF($N$8:N13,N14,$Z$8:Z13)+SUMIF($P$8:P13,N14,$AD$8:AD13),0),Y14)))</f>
        <v/>
      </c>
      <c r="AA14" s="8">
        <f>IF(N14="",0,MAX(0,MIN(INDEX(Houses!$F$2:$F$18,MATCH(N14,Houses!$A$2:$A$18,0))-IF(INDEX(Houses!$H$2:$H$18,MATCH(N14,Houses!$A$2:$A$18,0))=1,SUMIF($N$8:N13,N14,$AA$8:AA13)+SUMIF($P$8:P13,N14,$AE$8:AE13),0),INT((Y14-Z14)/2))))</f>
        <v/>
      </c>
      <c r="AB14" s="8">
        <f>IF(N14="",0,MAX(0,INDEX(Houses!$G$2:$G$18,MATCH(N14,Houses!$A$2:$A$18,0))-IF(INDEX(Houses!$H$2:$H$18,MATCH(N14,Houses!$A$2:$A$18,0))=1,SUMIF($N$8:N13,N14,$AB$8:AB13)+SUMIF($P$8:P13,N14,$AF$8:AF13),0)))</f>
        <v/>
      </c>
      <c r="AC14" s="8">
        <f>IF(P14="",0,IF(Q14="",8,INDEX(People!$E$2:$E$7,MATCH(Q14,People!$A$2:$A$7,0))))</f>
        <v/>
      </c>
      <c r="AD14" s="8">
        <f>IF(P14="",0,MAX(0,MIN(INDEX(Houses!$E$2:$E$18,MATCH(P14,Houses!$A$2:$A$18,0))-IF(INDEX(Houses!$H$2:$H$18,MATCH(P14,Houses!$A$2:$A$18,0))=1,SUMIF($P$8:P13,P14,$AD$8:AD13)+SUMIF($N$8:N13,P14,$Z$8:Z13)+IF(N14=P14,Z14,0),0),AC14)))</f>
        <v/>
      </c>
      <c r="AE14" s="8">
        <f>IF(P14="",0,MAX(0,MIN(INDEX(Houses!$F$2:$F$18,MATCH(P14,Houses!$A$2:$A$18,0))-IF(INDEX(Houses!$H$2:$H$18,MATCH(P14,Houses!$A$2:$A$18,0))=1,SUMIF($P$8:P13,P14,$AE$8:AE13)+SUMIF($N$8:N13,P14,$AA$8:AA13)+IF(N14=P14,AA14,0),0),INT((AC14-AD14)/2))))</f>
        <v/>
      </c>
      <c r="AF14" s="8">
        <f>IF(P14="",0,MAX(0,INDEX(Houses!$G$2:$G$18,MATCH(P14,Houses!$A$2:$A$18,0))-IF(INDEX(Houses!$H$2:$H$18,MATCH(P14,Houses!$A$2:$A$18,0))=1,SUMIF($P$8:P13,P14,$AF$8:AF13)+SUMIF($N$8:N13,P14,$AB$8:AB13)+IF(N14=P14,AB14,0),0)))</f>
        <v/>
      </c>
      <c r="AG14" s="9">
        <f>AG13+H14*Params!$B$24*F14-I14*Params!$B$25-J14*Params!$B$27</f>
        <v/>
      </c>
      <c r="AH14" s="9">
        <f>AH13+I14*Params!$B$25*Params!$B$26-K14*Params!$B$31-L14*Params!$B$33-M14*Params!$B$36+AA14+AE14</f>
        <v/>
      </c>
      <c r="AI14" s="9">
        <f>AI13+J14*Params!$B$27*Params!$B$28-X14*Params!$B$43*24</f>
        <v/>
      </c>
      <c r="AJ14" s="9">
        <f>AJ13-E14*Params!$B$22+Z14+AD14</f>
        <v/>
      </c>
      <c r="AK14" s="8">
        <f>AK13+AB14+AF14</f>
        <v/>
      </c>
      <c r="AL14" s="8">
        <f>MAX(0,AL13-M14)</f>
        <v/>
      </c>
      <c r="AM14" s="8">
        <f>MAX(0,AT13-K14)</f>
        <v/>
      </c>
      <c r="AN14" s="9">
        <f>AQ13+L14*Params!$B$35</f>
        <v/>
      </c>
      <c r="AO14" s="8">
        <f>IF(C14=0,0,INDEX(Nights!$B$2:$B$31,C14))</f>
        <v/>
      </c>
      <c r="AP14" s="9">
        <f>AO14*Params!$B$51*Params!$B$50</f>
        <v/>
      </c>
      <c r="AQ14" s="9">
        <f>MAX(0,AN14-AP14)</f>
        <v/>
      </c>
      <c r="AR14" s="8">
        <f>INT((AS13+MAX(0,AP14-AN14))/Params!$B$30)</f>
        <v/>
      </c>
      <c r="AS14" s="9">
        <f>(AS13+MAX(0,AP14-AN14))-AR14*Params!$B$30</f>
        <v/>
      </c>
      <c r="AT14" s="8">
        <f>AM14+AR14</f>
        <v/>
      </c>
      <c r="AU14" s="8">
        <f>IF(AND(AO14&gt;0,OR(AM14+AL14&gt;0,AR14&gt;0)),"BREACH","")</f>
        <v/>
      </c>
      <c r="AV14" s="13">
        <f>Params!$B$40+IF(AI14&lt;0,0,X14)*Params!$B$41-(AM14+AL14)*Params!$B$42</f>
        <v/>
      </c>
      <c r="AW14" s="9">
        <f>MAX(0,MIN(100,AW13-IF(AV14&lt;Params!$B$44,(Params!$B$44-AV14)*Params!$B$45,0)-IF(AJ14&lt;0,Params!$B$54,0)-IF(AU14="BREACH",Params!$B$53,0)-IF(T14="DARK",Params!$B$55,0)))</f>
        <v/>
      </c>
      <c r="AX14" s="8">
        <f>IF(AW14&lt;=0,"DEAD",TRIM(IF(V14&lt;0,"OVERWORK ","")&amp;IF(W14&lt;0,"NO-DAYLIGHT ","")&amp;IF(AG14&lt;0,"NO-LOGS ","")&amp;IF(AH14&lt;0,"NO-BOARDS ","")&amp;IF(AI14&lt;0,"NO-FUEL ","")&amp;IF(AJ14&lt;0,"HUNGER ","")&amp;AU14&amp;" "&amp;IF(T14="DARK","DARK-TRIP ","")&amp;IF(AV14&lt;Params!$B$44,"COLD","")))</f>
        <v/>
      </c>
    </row>
    <row r="15">
      <c r="A15" s="7" t="n">
        <v>7</v>
      </c>
      <c r="B15" s="8">
        <f>IF(A15&lt;=Params!$B$5,"prep","night")</f>
        <v/>
      </c>
      <c r="C15" s="8">
        <f>MAX(0,A15-Params!$B$5)</f>
        <v/>
      </c>
      <c r="D15" s="9">
        <f>IF(A15&lt;=Params!$B$5,ROUND(Params!$B$7-(Params!$B$7-Params!$B$8)*(A15-1)/(Params!$B$5-1),1),0)</f>
        <v/>
      </c>
      <c r="E15" s="8">
        <f>COUNTIFS(People!$F$2:$F$7,"&lt;="&amp;A15,People!$F$2:$F$7,"&gt;0")</f>
        <v/>
      </c>
      <c r="F15" s="10">
        <f>IF(E15=0,1,SUMIFS(People!$C$2:$C$7,People!$F$2:$F$7,"&lt;="&amp;A15,People!$F$2:$F$7,"&gt;0")/E15)</f>
        <v/>
      </c>
      <c r="G15" s="9">
        <f>E15*Params!$B$9</f>
        <v/>
      </c>
      <c r="H15" s="11" t="n">
        <v>9.6</v>
      </c>
      <c r="I15" s="11" t="n">
        <v>0</v>
      </c>
      <c r="J15" s="11" t="n">
        <v>1</v>
      </c>
      <c r="K15" s="12" t="n">
        <v>0</v>
      </c>
      <c r="L15" s="12" t="n">
        <v>0</v>
      </c>
      <c r="M15" s="12" t="n">
        <v>0</v>
      </c>
      <c r="N15" s="12" t="n"/>
      <c r="O15" s="12" t="n"/>
      <c r="P15" s="12" t="n"/>
      <c r="Q15" s="12" t="n"/>
      <c r="R15" s="9">
        <f>IF(N15="",0,(2*INDEX(Houses!$D$2:$D$18,MATCH(N15,Houses!$A$2:$A$18,0))+Params!$B$57)/IF(O15="",1,INDEX(People!$D$2:$D$7,MATCH(O15,People!$A$2:$A$7,0))))</f>
        <v/>
      </c>
      <c r="S15" s="9">
        <f>IF(P15="",0,(2*INDEX(Houses!$D$2:$D$18,MATCH(P15,Houses!$A$2:$A$18,0))+Params!$B$57)/IF(Q15="",1,INDEX(People!$D$2:$D$7,MATCH(Q15,People!$A$2:$A$7,0))))</f>
        <v/>
      </c>
      <c r="T15" s="8">
        <f>IF(AND(N15="",P15=""),"",IF(MAX(R15,S15)&lt;=D15,"ok","DARK"))</f>
        <v/>
      </c>
      <c r="U15" s="9">
        <f>H15+I15+J15+K15*Params!$B$32+L15*Params!$B$34+M15*Params!$B$37+R15+S15</f>
        <v/>
      </c>
      <c r="V15" s="9">
        <f>G15-U15</f>
        <v/>
      </c>
      <c r="W15" s="9">
        <f>D15*E15-(H15+R15+S15)</f>
        <v/>
      </c>
      <c r="X15" s="12" t="n">
        <v>1</v>
      </c>
      <c r="Y15" s="8">
        <f>IF(N15="",0,IF(O15="",8,INDEX(People!$E$2:$E$7,MATCH(O15,People!$A$2:$A$7,0))))</f>
        <v/>
      </c>
      <c r="Z15" s="8">
        <f>IF(N15="",0,MAX(0,MIN(INDEX(Houses!$E$2:$E$18,MATCH(N15,Houses!$A$2:$A$18,0))-IF(INDEX(Houses!$H$2:$H$18,MATCH(N15,Houses!$A$2:$A$18,0))=1,SUMIF($N$8:N14,N15,$Z$8:Z14)+SUMIF($P$8:P14,N15,$AD$8:AD14),0),Y15)))</f>
        <v/>
      </c>
      <c r="AA15" s="8">
        <f>IF(N15="",0,MAX(0,MIN(INDEX(Houses!$F$2:$F$18,MATCH(N15,Houses!$A$2:$A$18,0))-IF(INDEX(Houses!$H$2:$H$18,MATCH(N15,Houses!$A$2:$A$18,0))=1,SUMIF($N$8:N14,N15,$AA$8:AA14)+SUMIF($P$8:P14,N15,$AE$8:AE14),0),INT((Y15-Z15)/2))))</f>
        <v/>
      </c>
      <c r="AB15" s="8">
        <f>IF(N15="",0,MAX(0,INDEX(Houses!$G$2:$G$18,MATCH(N15,Houses!$A$2:$A$18,0))-IF(INDEX(Houses!$H$2:$H$18,MATCH(N15,Houses!$A$2:$A$18,0))=1,SUMIF($N$8:N14,N15,$AB$8:AB14)+SUMIF($P$8:P14,N15,$AF$8:AF14),0)))</f>
        <v/>
      </c>
      <c r="AC15" s="8">
        <f>IF(P15="",0,IF(Q15="",8,INDEX(People!$E$2:$E$7,MATCH(Q15,People!$A$2:$A$7,0))))</f>
        <v/>
      </c>
      <c r="AD15" s="8">
        <f>IF(P15="",0,MAX(0,MIN(INDEX(Houses!$E$2:$E$18,MATCH(P15,Houses!$A$2:$A$18,0))-IF(INDEX(Houses!$H$2:$H$18,MATCH(P15,Houses!$A$2:$A$18,0))=1,SUMIF($P$8:P14,P15,$AD$8:AD14)+SUMIF($N$8:N14,P15,$Z$8:Z14)+IF(N15=P15,Z15,0),0),AC15)))</f>
        <v/>
      </c>
      <c r="AE15" s="8">
        <f>IF(P15="",0,MAX(0,MIN(INDEX(Houses!$F$2:$F$18,MATCH(P15,Houses!$A$2:$A$18,0))-IF(INDEX(Houses!$H$2:$H$18,MATCH(P15,Houses!$A$2:$A$18,0))=1,SUMIF($P$8:P14,P15,$AE$8:AE14)+SUMIF($N$8:N14,P15,$AA$8:AA14)+IF(N15=P15,AA15,0),0),INT((AC15-AD15)/2))))</f>
        <v/>
      </c>
      <c r="AF15" s="8">
        <f>IF(P15="",0,MAX(0,INDEX(Houses!$G$2:$G$18,MATCH(P15,Houses!$A$2:$A$18,0))-IF(INDEX(Houses!$H$2:$H$18,MATCH(P15,Houses!$A$2:$A$18,0))=1,SUMIF($P$8:P14,P15,$AF$8:AF14)+SUMIF($N$8:N14,P15,$AB$8:AB14)+IF(N15=P15,AB15,0),0)))</f>
        <v/>
      </c>
      <c r="AG15" s="9">
        <f>AG14+H15*Params!$B$24*F15-I15*Params!$B$25-J15*Params!$B$27</f>
        <v/>
      </c>
      <c r="AH15" s="9">
        <f>AH14+I15*Params!$B$25*Params!$B$26-K15*Params!$B$31-L15*Params!$B$33-M15*Params!$B$36+AA15+AE15</f>
        <v/>
      </c>
      <c r="AI15" s="9">
        <f>AI14+J15*Params!$B$27*Params!$B$28-X15*Params!$B$43*24</f>
        <v/>
      </c>
      <c r="AJ15" s="9">
        <f>AJ14-E15*Params!$B$22+Z15+AD15</f>
        <v/>
      </c>
      <c r="AK15" s="8">
        <f>AK14+AB15+AF15</f>
        <v/>
      </c>
      <c r="AL15" s="8">
        <f>MAX(0,AL14-M15)</f>
        <v/>
      </c>
      <c r="AM15" s="8">
        <f>MAX(0,AT14-K15)</f>
        <v/>
      </c>
      <c r="AN15" s="9">
        <f>AQ14+L15*Params!$B$35</f>
        <v/>
      </c>
      <c r="AO15" s="8">
        <f>IF(C15=0,0,INDEX(Nights!$B$2:$B$31,C15))</f>
        <v/>
      </c>
      <c r="AP15" s="9">
        <f>AO15*Params!$B$51*Params!$B$50</f>
        <v/>
      </c>
      <c r="AQ15" s="9">
        <f>MAX(0,AN15-AP15)</f>
        <v/>
      </c>
      <c r="AR15" s="8">
        <f>INT((AS14+MAX(0,AP15-AN15))/Params!$B$30)</f>
        <v/>
      </c>
      <c r="AS15" s="9">
        <f>(AS14+MAX(0,AP15-AN15))-AR15*Params!$B$30</f>
        <v/>
      </c>
      <c r="AT15" s="8">
        <f>AM15+AR15</f>
        <v/>
      </c>
      <c r="AU15" s="8">
        <f>IF(AND(AO15&gt;0,OR(AM15+AL15&gt;0,AR15&gt;0)),"BREACH","")</f>
        <v/>
      </c>
      <c r="AV15" s="13">
        <f>Params!$B$40+IF(AI15&lt;0,0,X15)*Params!$B$41-(AM15+AL15)*Params!$B$42</f>
        <v/>
      </c>
      <c r="AW15" s="9">
        <f>MAX(0,MIN(100,AW14-IF(AV15&lt;Params!$B$44,(Params!$B$44-AV15)*Params!$B$45,0)-IF(AJ15&lt;0,Params!$B$54,0)-IF(AU15="BREACH",Params!$B$53,0)-IF(T15="DARK",Params!$B$55,0)))</f>
        <v/>
      </c>
      <c r="AX15" s="8">
        <f>IF(AW15&lt;=0,"DEAD",TRIM(IF(V15&lt;0,"OVERWORK ","")&amp;IF(W15&lt;0,"NO-DAYLIGHT ","")&amp;IF(AG15&lt;0,"NO-LOGS ","")&amp;IF(AH15&lt;0,"NO-BOARDS ","")&amp;IF(AI15&lt;0,"NO-FUEL ","")&amp;IF(AJ15&lt;0,"HUNGER ","")&amp;AU15&amp;" "&amp;IF(T15="DARK","DARK-TRIP ","")&amp;IF(AV15&lt;Params!$B$44,"COLD","")))</f>
        <v/>
      </c>
    </row>
    <row r="16">
      <c r="A16" s="7" t="n">
        <v>8</v>
      </c>
      <c r="B16" s="8">
        <f>IF(A16&lt;=Params!$B$5,"prep","night")</f>
        <v/>
      </c>
      <c r="C16" s="8">
        <f>MAX(0,A16-Params!$B$5)</f>
        <v/>
      </c>
      <c r="D16" s="9">
        <f>IF(A16&lt;=Params!$B$5,ROUND(Params!$B$7-(Params!$B$7-Params!$B$8)*(A16-1)/(Params!$B$5-1),1),0)</f>
        <v/>
      </c>
      <c r="E16" s="8">
        <f>COUNTIFS(People!$F$2:$F$7,"&lt;="&amp;A16,People!$F$2:$F$7,"&gt;0")</f>
        <v/>
      </c>
      <c r="F16" s="10">
        <f>IF(E16=0,1,SUMIFS(People!$C$2:$C$7,People!$F$2:$F$7,"&lt;="&amp;A16,People!$F$2:$F$7,"&gt;0")/E16)</f>
        <v/>
      </c>
      <c r="G16" s="9">
        <f>E16*Params!$B$9</f>
        <v/>
      </c>
      <c r="H16" s="11" t="n">
        <v>6.8</v>
      </c>
      <c r="I16" s="11" t="n">
        <v>0</v>
      </c>
      <c r="J16" s="11" t="n">
        <v>2</v>
      </c>
      <c r="K16" s="12" t="n">
        <v>0</v>
      </c>
      <c r="L16" s="12" t="n">
        <v>0</v>
      </c>
      <c r="M16" s="12" t="n">
        <v>0</v>
      </c>
      <c r="N16" s="12" t="inlineStr">
        <is>
          <t>R01</t>
        </is>
      </c>
      <c r="O16" s="12" t="inlineStr">
        <is>
          <t>B</t>
        </is>
      </c>
      <c r="P16" s="12" t="n"/>
      <c r="Q16" s="12" t="n"/>
      <c r="R16" s="9">
        <f>IF(N16="",0,(2*INDEX(Houses!$D$2:$D$18,MATCH(N16,Houses!$A$2:$A$18,0))+Params!$B$57)/IF(O16="",1,INDEX(People!$D$2:$D$7,MATCH(O16,People!$A$2:$A$7,0))))</f>
        <v/>
      </c>
      <c r="S16" s="9">
        <f>IF(P16="",0,(2*INDEX(Houses!$D$2:$D$18,MATCH(P16,Houses!$A$2:$A$18,0))+Params!$B$57)/IF(Q16="",1,INDEX(People!$D$2:$D$7,MATCH(Q16,People!$A$2:$A$7,0))))</f>
        <v/>
      </c>
      <c r="T16" s="8">
        <f>IF(AND(N16="",P16=""),"",IF(MAX(R16,S16)&lt;=D16,"ok","DARK"))</f>
        <v/>
      </c>
      <c r="U16" s="9">
        <f>H16+I16+J16+K16*Params!$B$32+L16*Params!$B$34+M16*Params!$B$37+R16+S16</f>
        <v/>
      </c>
      <c r="V16" s="9">
        <f>G16-U16</f>
        <v/>
      </c>
      <c r="W16" s="9">
        <f>D16*E16-(H16+R16+S16)</f>
        <v/>
      </c>
      <c r="X16" s="12" t="n">
        <v>1</v>
      </c>
      <c r="Y16" s="8">
        <f>IF(N16="",0,IF(O16="",8,INDEX(People!$E$2:$E$7,MATCH(O16,People!$A$2:$A$7,0))))</f>
        <v/>
      </c>
      <c r="Z16" s="8">
        <f>IF(N16="",0,MAX(0,MIN(INDEX(Houses!$E$2:$E$18,MATCH(N16,Houses!$A$2:$A$18,0))-IF(INDEX(Houses!$H$2:$H$18,MATCH(N16,Houses!$A$2:$A$18,0))=1,SUMIF($N$8:N15,N16,$Z$8:Z15)+SUMIF($P$8:P15,N16,$AD$8:AD15),0),Y16)))</f>
        <v/>
      </c>
      <c r="AA16" s="8">
        <f>IF(N16="",0,MAX(0,MIN(INDEX(Houses!$F$2:$F$18,MATCH(N16,Houses!$A$2:$A$18,0))-IF(INDEX(Houses!$H$2:$H$18,MATCH(N16,Houses!$A$2:$A$18,0))=1,SUMIF($N$8:N15,N16,$AA$8:AA15)+SUMIF($P$8:P15,N16,$AE$8:AE15),0),INT((Y16-Z16)/2))))</f>
        <v/>
      </c>
      <c r="AB16" s="8">
        <f>IF(N16="",0,MAX(0,INDEX(Houses!$G$2:$G$18,MATCH(N16,Houses!$A$2:$A$18,0))-IF(INDEX(Houses!$H$2:$H$18,MATCH(N16,Houses!$A$2:$A$18,0))=1,SUMIF($N$8:N15,N16,$AB$8:AB15)+SUMIF($P$8:P15,N16,$AF$8:AF15),0)))</f>
        <v/>
      </c>
      <c r="AC16" s="8">
        <f>IF(P16="",0,IF(Q16="",8,INDEX(People!$E$2:$E$7,MATCH(Q16,People!$A$2:$A$7,0))))</f>
        <v/>
      </c>
      <c r="AD16" s="8">
        <f>IF(P16="",0,MAX(0,MIN(INDEX(Houses!$E$2:$E$18,MATCH(P16,Houses!$A$2:$A$18,0))-IF(INDEX(Houses!$H$2:$H$18,MATCH(P16,Houses!$A$2:$A$18,0))=1,SUMIF($P$8:P15,P16,$AD$8:AD15)+SUMIF($N$8:N15,P16,$Z$8:Z15)+IF(N16=P16,Z16,0),0),AC16)))</f>
        <v/>
      </c>
      <c r="AE16" s="8">
        <f>IF(P16="",0,MAX(0,MIN(INDEX(Houses!$F$2:$F$18,MATCH(P16,Houses!$A$2:$A$18,0))-IF(INDEX(Houses!$H$2:$H$18,MATCH(P16,Houses!$A$2:$A$18,0))=1,SUMIF($P$8:P15,P16,$AE$8:AE15)+SUMIF($N$8:N15,P16,$AA$8:AA15)+IF(N16=P16,AA16,0),0),INT((AC16-AD16)/2))))</f>
        <v/>
      </c>
      <c r="AF16" s="8">
        <f>IF(P16="",0,MAX(0,INDEX(Houses!$G$2:$G$18,MATCH(P16,Houses!$A$2:$A$18,0))-IF(INDEX(Houses!$H$2:$H$18,MATCH(P16,Houses!$A$2:$A$18,0))=1,SUMIF($P$8:P15,P16,$AF$8:AF15)+SUMIF($N$8:N15,P16,$AB$8:AB15)+IF(N16=P16,AB16,0),0)))</f>
        <v/>
      </c>
      <c r="AG16" s="9">
        <f>AG15+H16*Params!$B$24*F16-I16*Params!$B$25-J16*Params!$B$27</f>
        <v/>
      </c>
      <c r="AH16" s="9">
        <f>AH15+I16*Params!$B$25*Params!$B$26-K16*Params!$B$31-L16*Params!$B$33-M16*Params!$B$36+AA16+AE16</f>
        <v/>
      </c>
      <c r="AI16" s="9">
        <f>AI15+J16*Params!$B$27*Params!$B$28-X16*Params!$B$43*24</f>
        <v/>
      </c>
      <c r="AJ16" s="9">
        <f>AJ15-E16*Params!$B$22+Z16+AD16</f>
        <v/>
      </c>
      <c r="AK16" s="8">
        <f>AK15+AB16+AF16</f>
        <v/>
      </c>
      <c r="AL16" s="8">
        <f>MAX(0,AL15-M16)</f>
        <v/>
      </c>
      <c r="AM16" s="8">
        <f>MAX(0,AT15-K16)</f>
        <v/>
      </c>
      <c r="AN16" s="9">
        <f>AQ15+L16*Params!$B$35</f>
        <v/>
      </c>
      <c r="AO16" s="8">
        <f>IF(C16=0,0,INDEX(Nights!$B$2:$B$31,C16))</f>
        <v/>
      </c>
      <c r="AP16" s="9">
        <f>AO16*Params!$B$51*Params!$B$50</f>
        <v/>
      </c>
      <c r="AQ16" s="9">
        <f>MAX(0,AN16-AP16)</f>
        <v/>
      </c>
      <c r="AR16" s="8">
        <f>INT((AS15+MAX(0,AP16-AN16))/Params!$B$30)</f>
        <v/>
      </c>
      <c r="AS16" s="9">
        <f>(AS15+MAX(0,AP16-AN16))-AR16*Params!$B$30</f>
        <v/>
      </c>
      <c r="AT16" s="8">
        <f>AM16+AR16</f>
        <v/>
      </c>
      <c r="AU16" s="8">
        <f>IF(AND(AO16&gt;0,OR(AM16+AL16&gt;0,AR16&gt;0)),"BREACH","")</f>
        <v/>
      </c>
      <c r="AV16" s="13">
        <f>Params!$B$40+IF(AI16&lt;0,0,X16)*Params!$B$41-(AM16+AL16)*Params!$B$42</f>
        <v/>
      </c>
      <c r="AW16" s="9">
        <f>MAX(0,MIN(100,AW15-IF(AV16&lt;Params!$B$44,(Params!$B$44-AV16)*Params!$B$45,0)-IF(AJ16&lt;0,Params!$B$54,0)-IF(AU16="BREACH",Params!$B$53,0)-IF(T16="DARK",Params!$B$55,0)))</f>
        <v/>
      </c>
      <c r="AX16" s="8">
        <f>IF(AW16&lt;=0,"DEAD",TRIM(IF(V16&lt;0,"OVERWORK ","")&amp;IF(W16&lt;0,"NO-DAYLIGHT ","")&amp;IF(AG16&lt;0,"NO-LOGS ","")&amp;IF(AH16&lt;0,"NO-BOARDS ","")&amp;IF(AI16&lt;0,"NO-FUEL ","")&amp;IF(AJ16&lt;0,"HUNGER ","")&amp;AU16&amp;" "&amp;IF(T16="DARK","DARK-TRIP ","")&amp;IF(AV16&lt;Params!$B$44,"COLD","")))</f>
        <v/>
      </c>
    </row>
    <row r="17">
      <c r="A17" s="7" t="n">
        <v>9</v>
      </c>
      <c r="B17" s="8">
        <f>IF(A17&lt;=Params!$B$5,"prep","night")</f>
        <v/>
      </c>
      <c r="C17" s="8">
        <f>MAX(0,A17-Params!$B$5)</f>
        <v/>
      </c>
      <c r="D17" s="9">
        <f>IF(A17&lt;=Params!$B$5,ROUND(Params!$B$7-(Params!$B$7-Params!$B$8)*(A17-1)/(Params!$B$5-1),1),0)</f>
        <v/>
      </c>
      <c r="E17" s="8">
        <f>COUNTIFS(People!$F$2:$F$7,"&lt;="&amp;A17,People!$F$2:$F$7,"&gt;0")</f>
        <v/>
      </c>
      <c r="F17" s="10">
        <f>IF(E17=0,1,SUMIFS(People!$C$2:$C$7,People!$F$2:$F$7,"&lt;="&amp;A17,People!$F$2:$F$7,"&gt;0")/E17)</f>
        <v/>
      </c>
      <c r="G17" s="9">
        <f>E17*Params!$B$9</f>
        <v/>
      </c>
      <c r="H17" s="11" t="n">
        <v>7.4</v>
      </c>
      <c r="I17" s="11" t="n">
        <v>0</v>
      </c>
      <c r="J17" s="11" t="n">
        <v>1</v>
      </c>
      <c r="K17" s="12" t="n">
        <v>0</v>
      </c>
      <c r="L17" s="12" t="n">
        <v>0</v>
      </c>
      <c r="M17" s="12" t="n">
        <v>0</v>
      </c>
      <c r="N17" s="12" t="n"/>
      <c r="O17" s="12" t="n"/>
      <c r="P17" s="12" t="n"/>
      <c r="Q17" s="12" t="n"/>
      <c r="R17" s="9">
        <f>IF(N17="",0,(2*INDEX(Houses!$D$2:$D$18,MATCH(N17,Houses!$A$2:$A$18,0))+Params!$B$57)/IF(O17="",1,INDEX(People!$D$2:$D$7,MATCH(O17,People!$A$2:$A$7,0))))</f>
        <v/>
      </c>
      <c r="S17" s="9">
        <f>IF(P17="",0,(2*INDEX(Houses!$D$2:$D$18,MATCH(P17,Houses!$A$2:$A$18,0))+Params!$B$57)/IF(Q17="",1,INDEX(People!$D$2:$D$7,MATCH(Q17,People!$A$2:$A$7,0))))</f>
        <v/>
      </c>
      <c r="T17" s="8">
        <f>IF(AND(N17="",P17=""),"",IF(MAX(R17,S17)&lt;=D17,"ok","DARK"))</f>
        <v/>
      </c>
      <c r="U17" s="9">
        <f>H17+I17+J17+K17*Params!$B$32+L17*Params!$B$34+M17*Params!$B$37+R17+S17</f>
        <v/>
      </c>
      <c r="V17" s="9">
        <f>G17-U17</f>
        <v/>
      </c>
      <c r="W17" s="9">
        <f>D17*E17-(H17+R17+S17)</f>
        <v/>
      </c>
      <c r="X17" s="12" t="n">
        <v>1</v>
      </c>
      <c r="Y17" s="8">
        <f>IF(N17="",0,IF(O17="",8,INDEX(People!$E$2:$E$7,MATCH(O17,People!$A$2:$A$7,0))))</f>
        <v/>
      </c>
      <c r="Z17" s="8">
        <f>IF(N17="",0,MAX(0,MIN(INDEX(Houses!$E$2:$E$18,MATCH(N17,Houses!$A$2:$A$18,0))-IF(INDEX(Houses!$H$2:$H$18,MATCH(N17,Houses!$A$2:$A$18,0))=1,SUMIF($N$8:N16,N17,$Z$8:Z16)+SUMIF($P$8:P16,N17,$AD$8:AD16),0),Y17)))</f>
        <v/>
      </c>
      <c r="AA17" s="8">
        <f>IF(N17="",0,MAX(0,MIN(INDEX(Houses!$F$2:$F$18,MATCH(N17,Houses!$A$2:$A$18,0))-IF(INDEX(Houses!$H$2:$H$18,MATCH(N17,Houses!$A$2:$A$18,0))=1,SUMIF($N$8:N16,N17,$AA$8:AA16)+SUMIF($P$8:P16,N17,$AE$8:AE16),0),INT((Y17-Z17)/2))))</f>
        <v/>
      </c>
      <c r="AB17" s="8">
        <f>IF(N17="",0,MAX(0,INDEX(Houses!$G$2:$G$18,MATCH(N17,Houses!$A$2:$A$18,0))-IF(INDEX(Houses!$H$2:$H$18,MATCH(N17,Houses!$A$2:$A$18,0))=1,SUMIF($N$8:N16,N17,$AB$8:AB16)+SUMIF($P$8:P16,N17,$AF$8:AF16),0)))</f>
        <v/>
      </c>
      <c r="AC17" s="8">
        <f>IF(P17="",0,IF(Q17="",8,INDEX(People!$E$2:$E$7,MATCH(Q17,People!$A$2:$A$7,0))))</f>
        <v/>
      </c>
      <c r="AD17" s="8">
        <f>IF(P17="",0,MAX(0,MIN(INDEX(Houses!$E$2:$E$18,MATCH(P17,Houses!$A$2:$A$18,0))-IF(INDEX(Houses!$H$2:$H$18,MATCH(P17,Houses!$A$2:$A$18,0))=1,SUMIF($P$8:P16,P17,$AD$8:AD16)+SUMIF($N$8:N16,P17,$Z$8:Z16)+IF(N17=P17,Z17,0),0),AC17)))</f>
        <v/>
      </c>
      <c r="AE17" s="8">
        <f>IF(P17="",0,MAX(0,MIN(INDEX(Houses!$F$2:$F$18,MATCH(P17,Houses!$A$2:$A$18,0))-IF(INDEX(Houses!$H$2:$H$18,MATCH(P17,Houses!$A$2:$A$18,0))=1,SUMIF($P$8:P16,P17,$AE$8:AE16)+SUMIF($N$8:N16,P17,$AA$8:AA16)+IF(N17=P17,AA17,0),0),INT((AC17-AD17)/2))))</f>
        <v/>
      </c>
      <c r="AF17" s="8">
        <f>IF(P17="",0,MAX(0,INDEX(Houses!$G$2:$G$18,MATCH(P17,Houses!$A$2:$A$18,0))-IF(INDEX(Houses!$H$2:$H$18,MATCH(P17,Houses!$A$2:$A$18,0))=1,SUMIF($P$8:P16,P17,$AF$8:AF16)+SUMIF($N$8:N16,P17,$AB$8:AB16)+IF(N17=P17,AB17,0),0)))</f>
        <v/>
      </c>
      <c r="AG17" s="9">
        <f>AG16+H17*Params!$B$24*F17-I17*Params!$B$25-J17*Params!$B$27</f>
        <v/>
      </c>
      <c r="AH17" s="9">
        <f>AH16+I17*Params!$B$25*Params!$B$26-K17*Params!$B$31-L17*Params!$B$33-M17*Params!$B$36+AA17+AE17</f>
        <v/>
      </c>
      <c r="AI17" s="9">
        <f>AI16+J17*Params!$B$27*Params!$B$28-X17*Params!$B$43*24</f>
        <v/>
      </c>
      <c r="AJ17" s="9">
        <f>AJ16-E17*Params!$B$22+Z17+AD17</f>
        <v/>
      </c>
      <c r="AK17" s="8">
        <f>AK16+AB17+AF17</f>
        <v/>
      </c>
      <c r="AL17" s="8">
        <f>MAX(0,AL16-M17)</f>
        <v/>
      </c>
      <c r="AM17" s="8">
        <f>MAX(0,AT16-K17)</f>
        <v/>
      </c>
      <c r="AN17" s="9">
        <f>AQ16+L17*Params!$B$35</f>
        <v/>
      </c>
      <c r="AO17" s="8">
        <f>IF(C17=0,0,INDEX(Nights!$B$2:$B$31,C17))</f>
        <v/>
      </c>
      <c r="AP17" s="9">
        <f>AO17*Params!$B$51*Params!$B$50</f>
        <v/>
      </c>
      <c r="AQ17" s="9">
        <f>MAX(0,AN17-AP17)</f>
        <v/>
      </c>
      <c r="AR17" s="8">
        <f>INT((AS16+MAX(0,AP17-AN17))/Params!$B$30)</f>
        <v/>
      </c>
      <c r="AS17" s="9">
        <f>(AS16+MAX(0,AP17-AN17))-AR17*Params!$B$30</f>
        <v/>
      </c>
      <c r="AT17" s="8">
        <f>AM17+AR17</f>
        <v/>
      </c>
      <c r="AU17" s="8">
        <f>IF(AND(AO17&gt;0,OR(AM17+AL17&gt;0,AR17&gt;0)),"BREACH","")</f>
        <v/>
      </c>
      <c r="AV17" s="13">
        <f>Params!$B$40+IF(AI17&lt;0,0,X17)*Params!$B$41-(AM17+AL17)*Params!$B$42</f>
        <v/>
      </c>
      <c r="AW17" s="9">
        <f>MAX(0,MIN(100,AW16-IF(AV17&lt;Params!$B$44,(Params!$B$44-AV17)*Params!$B$45,0)-IF(AJ17&lt;0,Params!$B$54,0)-IF(AU17="BREACH",Params!$B$53,0)-IF(T17="DARK",Params!$B$55,0)))</f>
        <v/>
      </c>
      <c r="AX17" s="8">
        <f>IF(AW17&lt;=0,"DEAD",TRIM(IF(V17&lt;0,"OVERWORK ","")&amp;IF(W17&lt;0,"NO-DAYLIGHT ","")&amp;IF(AG17&lt;0,"NO-LOGS ","")&amp;IF(AH17&lt;0,"NO-BOARDS ","")&amp;IF(AI17&lt;0,"NO-FUEL ","")&amp;IF(AJ17&lt;0,"HUNGER ","")&amp;AU17&amp;" "&amp;IF(T17="DARK","DARK-TRIP ","")&amp;IF(AV17&lt;Params!$B$44,"COLD","")))</f>
        <v/>
      </c>
    </row>
    <row r="18">
      <c r="A18" s="7" t="n">
        <v>10</v>
      </c>
      <c r="B18" s="8">
        <f>IF(A18&lt;=Params!$B$5,"prep","night")</f>
        <v/>
      </c>
      <c r="C18" s="8">
        <f>MAX(0,A18-Params!$B$5)</f>
        <v/>
      </c>
      <c r="D18" s="9">
        <f>IF(A18&lt;=Params!$B$5,ROUND(Params!$B$7-(Params!$B$7-Params!$B$8)*(A18-1)/(Params!$B$5-1),1),0)</f>
        <v/>
      </c>
      <c r="E18" s="8">
        <f>COUNTIFS(People!$F$2:$F$7,"&lt;="&amp;A18,People!$F$2:$F$7,"&gt;0")</f>
        <v/>
      </c>
      <c r="F18" s="10">
        <f>IF(E18=0,1,SUMIFS(People!$C$2:$C$7,People!$F$2:$F$7,"&lt;="&amp;A18,People!$F$2:$F$7,"&gt;0")/E18)</f>
        <v/>
      </c>
      <c r="G18" s="9">
        <f>E18*Params!$B$9</f>
        <v/>
      </c>
      <c r="H18" s="11" t="n">
        <v>4.8</v>
      </c>
      <c r="I18" s="11" t="n">
        <v>0</v>
      </c>
      <c r="J18" s="11" t="n">
        <v>1</v>
      </c>
      <c r="K18" s="12" t="n">
        <v>0</v>
      </c>
      <c r="L18" s="12" t="n">
        <v>0</v>
      </c>
      <c r="M18" s="12" t="n">
        <v>0</v>
      </c>
      <c r="N18" s="12" t="inlineStr">
        <is>
          <t>R02</t>
        </is>
      </c>
      <c r="O18" s="12" t="inlineStr">
        <is>
          <t>B</t>
        </is>
      </c>
      <c r="P18" s="12" t="n"/>
      <c r="Q18" s="12" t="n"/>
      <c r="R18" s="9">
        <f>IF(N18="",0,(2*INDEX(Houses!$D$2:$D$18,MATCH(N18,Houses!$A$2:$A$18,0))+Params!$B$57)/IF(O18="",1,INDEX(People!$D$2:$D$7,MATCH(O18,People!$A$2:$A$7,0))))</f>
        <v/>
      </c>
      <c r="S18" s="9">
        <f>IF(P18="",0,(2*INDEX(Houses!$D$2:$D$18,MATCH(P18,Houses!$A$2:$A$18,0))+Params!$B$57)/IF(Q18="",1,INDEX(People!$D$2:$D$7,MATCH(Q18,People!$A$2:$A$7,0))))</f>
        <v/>
      </c>
      <c r="T18" s="8">
        <f>IF(AND(N18="",P18=""),"",IF(MAX(R18,S18)&lt;=D18,"ok","DARK"))</f>
        <v/>
      </c>
      <c r="U18" s="9">
        <f>H18+I18+J18+K18*Params!$B$32+L18*Params!$B$34+M18*Params!$B$37+R18+S18</f>
        <v/>
      </c>
      <c r="V18" s="9">
        <f>G18-U18</f>
        <v/>
      </c>
      <c r="W18" s="9">
        <f>D18*E18-(H18+R18+S18)</f>
        <v/>
      </c>
      <c r="X18" s="12" t="n">
        <v>1</v>
      </c>
      <c r="Y18" s="8">
        <f>IF(N18="",0,IF(O18="",8,INDEX(People!$E$2:$E$7,MATCH(O18,People!$A$2:$A$7,0))))</f>
        <v/>
      </c>
      <c r="Z18" s="8">
        <f>IF(N18="",0,MAX(0,MIN(INDEX(Houses!$E$2:$E$18,MATCH(N18,Houses!$A$2:$A$18,0))-IF(INDEX(Houses!$H$2:$H$18,MATCH(N18,Houses!$A$2:$A$18,0))=1,SUMIF($N$8:N17,N18,$Z$8:Z17)+SUMIF($P$8:P17,N18,$AD$8:AD17),0),Y18)))</f>
        <v/>
      </c>
      <c r="AA18" s="8">
        <f>IF(N18="",0,MAX(0,MIN(INDEX(Houses!$F$2:$F$18,MATCH(N18,Houses!$A$2:$A$18,0))-IF(INDEX(Houses!$H$2:$H$18,MATCH(N18,Houses!$A$2:$A$18,0))=1,SUMIF($N$8:N17,N18,$AA$8:AA17)+SUMIF($P$8:P17,N18,$AE$8:AE17),0),INT((Y18-Z18)/2))))</f>
        <v/>
      </c>
      <c r="AB18" s="8">
        <f>IF(N18="",0,MAX(0,INDEX(Houses!$G$2:$G$18,MATCH(N18,Houses!$A$2:$A$18,0))-IF(INDEX(Houses!$H$2:$H$18,MATCH(N18,Houses!$A$2:$A$18,0))=1,SUMIF($N$8:N17,N18,$AB$8:AB17)+SUMIF($P$8:P17,N18,$AF$8:AF17),0)))</f>
        <v/>
      </c>
      <c r="AC18" s="8">
        <f>IF(P18="",0,IF(Q18="",8,INDEX(People!$E$2:$E$7,MATCH(Q18,People!$A$2:$A$7,0))))</f>
        <v/>
      </c>
      <c r="AD18" s="8">
        <f>IF(P18="",0,MAX(0,MIN(INDEX(Houses!$E$2:$E$18,MATCH(P18,Houses!$A$2:$A$18,0))-IF(INDEX(Houses!$H$2:$H$18,MATCH(P18,Houses!$A$2:$A$18,0))=1,SUMIF($P$8:P17,P18,$AD$8:AD17)+SUMIF($N$8:N17,P18,$Z$8:Z17)+IF(N18=P18,Z18,0),0),AC18)))</f>
        <v/>
      </c>
      <c r="AE18" s="8">
        <f>IF(P18="",0,MAX(0,MIN(INDEX(Houses!$F$2:$F$18,MATCH(P18,Houses!$A$2:$A$18,0))-IF(INDEX(Houses!$H$2:$H$18,MATCH(P18,Houses!$A$2:$A$18,0))=1,SUMIF($P$8:P17,P18,$AE$8:AE17)+SUMIF($N$8:N17,P18,$AA$8:AA17)+IF(N18=P18,AA18,0),0),INT((AC18-AD18)/2))))</f>
        <v/>
      </c>
      <c r="AF18" s="8">
        <f>IF(P18="",0,MAX(0,INDEX(Houses!$G$2:$G$18,MATCH(P18,Houses!$A$2:$A$18,0))-IF(INDEX(Houses!$H$2:$H$18,MATCH(P18,Houses!$A$2:$A$18,0))=1,SUMIF($P$8:P17,P18,$AF$8:AF17)+SUMIF($N$8:N17,P18,$AB$8:AB17)+IF(N18=P18,AB18,0),0)))</f>
        <v/>
      </c>
      <c r="AG18" s="9">
        <f>AG17+H18*Params!$B$24*F18-I18*Params!$B$25-J18*Params!$B$27</f>
        <v/>
      </c>
      <c r="AH18" s="9">
        <f>AH17+I18*Params!$B$25*Params!$B$26-K18*Params!$B$31-L18*Params!$B$33-M18*Params!$B$36+AA18+AE18</f>
        <v/>
      </c>
      <c r="AI18" s="9">
        <f>AI17+J18*Params!$B$27*Params!$B$28-X18*Params!$B$43*24</f>
        <v/>
      </c>
      <c r="AJ18" s="9">
        <f>AJ17-E18*Params!$B$22+Z18+AD18</f>
        <v/>
      </c>
      <c r="AK18" s="8">
        <f>AK17+AB18+AF18</f>
        <v/>
      </c>
      <c r="AL18" s="8">
        <f>MAX(0,AL17-M18)</f>
        <v/>
      </c>
      <c r="AM18" s="8">
        <f>MAX(0,AT17-K18)</f>
        <v/>
      </c>
      <c r="AN18" s="9">
        <f>AQ17+L18*Params!$B$35</f>
        <v/>
      </c>
      <c r="AO18" s="8">
        <f>IF(C18=0,0,INDEX(Nights!$B$2:$B$31,C18))</f>
        <v/>
      </c>
      <c r="AP18" s="9">
        <f>AO18*Params!$B$51*Params!$B$50</f>
        <v/>
      </c>
      <c r="AQ18" s="9">
        <f>MAX(0,AN18-AP18)</f>
        <v/>
      </c>
      <c r="AR18" s="8">
        <f>INT((AS17+MAX(0,AP18-AN18))/Params!$B$30)</f>
        <v/>
      </c>
      <c r="AS18" s="9">
        <f>(AS17+MAX(0,AP18-AN18))-AR18*Params!$B$30</f>
        <v/>
      </c>
      <c r="AT18" s="8">
        <f>AM18+AR18</f>
        <v/>
      </c>
      <c r="AU18" s="8">
        <f>IF(AND(AO18&gt;0,OR(AM18+AL18&gt;0,AR18&gt;0)),"BREACH","")</f>
        <v/>
      </c>
      <c r="AV18" s="13">
        <f>Params!$B$40+IF(AI18&lt;0,0,X18)*Params!$B$41-(AM18+AL18)*Params!$B$42</f>
        <v/>
      </c>
      <c r="AW18" s="9">
        <f>MAX(0,MIN(100,AW17-IF(AV18&lt;Params!$B$44,(Params!$B$44-AV18)*Params!$B$45,0)-IF(AJ18&lt;0,Params!$B$54,0)-IF(AU18="BREACH",Params!$B$53,0)-IF(T18="DARK",Params!$B$55,0)))</f>
        <v/>
      </c>
      <c r="AX18" s="8">
        <f>IF(AW18&lt;=0,"DEAD",TRIM(IF(V18&lt;0,"OVERWORK ","")&amp;IF(W18&lt;0,"NO-DAYLIGHT ","")&amp;IF(AG18&lt;0,"NO-LOGS ","")&amp;IF(AH18&lt;0,"NO-BOARDS ","")&amp;IF(AI18&lt;0,"NO-FUEL ","")&amp;IF(AJ18&lt;0,"HUNGER ","")&amp;AU18&amp;" "&amp;IF(T18="DARK","DARK-TRIP ","")&amp;IF(AV18&lt;Params!$B$44,"COLD","")))</f>
        <v/>
      </c>
    </row>
    <row r="19">
      <c r="A19" s="7" t="n">
        <v>11</v>
      </c>
      <c r="B19" s="8">
        <f>IF(A19&lt;=Params!$B$5,"prep","night")</f>
        <v/>
      </c>
      <c r="C19" s="8">
        <f>MAX(0,A19-Params!$B$5)</f>
        <v/>
      </c>
      <c r="D19" s="9">
        <f>IF(A19&lt;=Params!$B$5,ROUND(Params!$B$7-(Params!$B$7-Params!$B$8)*(A19-1)/(Params!$B$5-1),1),0)</f>
        <v/>
      </c>
      <c r="E19" s="8">
        <f>COUNTIFS(People!$F$2:$F$7,"&lt;="&amp;A19,People!$F$2:$F$7,"&gt;0")</f>
        <v/>
      </c>
      <c r="F19" s="10">
        <f>IF(E19=0,1,SUMIFS(People!$C$2:$C$7,People!$F$2:$F$7,"&lt;="&amp;A19,People!$F$2:$F$7,"&gt;0")/E19)</f>
        <v/>
      </c>
      <c r="G19" s="9">
        <f>E19*Params!$B$9</f>
        <v/>
      </c>
      <c r="H19" s="11" t="n">
        <v>5.2</v>
      </c>
      <c r="I19" s="11" t="n">
        <v>0</v>
      </c>
      <c r="J19" s="11" t="n">
        <v>2</v>
      </c>
      <c r="K19" s="12" t="n">
        <v>0</v>
      </c>
      <c r="L19" s="12" t="n">
        <v>0</v>
      </c>
      <c r="M19" s="12" t="n">
        <v>0</v>
      </c>
      <c r="N19" s="12" t="n"/>
      <c r="O19" s="12" t="n"/>
      <c r="P19" s="12" t="n"/>
      <c r="Q19" s="12" t="n"/>
      <c r="R19" s="9">
        <f>IF(N19="",0,(2*INDEX(Houses!$D$2:$D$18,MATCH(N19,Houses!$A$2:$A$18,0))+Params!$B$57)/IF(O19="",1,INDEX(People!$D$2:$D$7,MATCH(O19,People!$A$2:$A$7,0))))</f>
        <v/>
      </c>
      <c r="S19" s="9">
        <f>IF(P19="",0,(2*INDEX(Houses!$D$2:$D$18,MATCH(P19,Houses!$A$2:$A$18,0))+Params!$B$57)/IF(Q19="",1,INDEX(People!$D$2:$D$7,MATCH(Q19,People!$A$2:$A$7,0))))</f>
        <v/>
      </c>
      <c r="T19" s="8">
        <f>IF(AND(N19="",P19=""),"",IF(MAX(R19,S19)&lt;=D19,"ok","DARK"))</f>
        <v/>
      </c>
      <c r="U19" s="9">
        <f>H19+I19+J19+K19*Params!$B$32+L19*Params!$B$34+M19*Params!$B$37+R19+S19</f>
        <v/>
      </c>
      <c r="V19" s="9">
        <f>G19-U19</f>
        <v/>
      </c>
      <c r="W19" s="9">
        <f>D19*E19-(H19+R19+S19)</f>
        <v/>
      </c>
      <c r="X19" s="12" t="n">
        <v>1</v>
      </c>
      <c r="Y19" s="8">
        <f>IF(N19="",0,IF(O19="",8,INDEX(People!$E$2:$E$7,MATCH(O19,People!$A$2:$A$7,0))))</f>
        <v/>
      </c>
      <c r="Z19" s="8">
        <f>IF(N19="",0,MAX(0,MIN(INDEX(Houses!$E$2:$E$18,MATCH(N19,Houses!$A$2:$A$18,0))-IF(INDEX(Houses!$H$2:$H$18,MATCH(N19,Houses!$A$2:$A$18,0))=1,SUMIF($N$8:N18,N19,$Z$8:Z18)+SUMIF($P$8:P18,N19,$AD$8:AD18),0),Y19)))</f>
        <v/>
      </c>
      <c r="AA19" s="8">
        <f>IF(N19="",0,MAX(0,MIN(INDEX(Houses!$F$2:$F$18,MATCH(N19,Houses!$A$2:$A$18,0))-IF(INDEX(Houses!$H$2:$H$18,MATCH(N19,Houses!$A$2:$A$18,0))=1,SUMIF($N$8:N18,N19,$AA$8:AA18)+SUMIF($P$8:P18,N19,$AE$8:AE18),0),INT((Y19-Z19)/2))))</f>
        <v/>
      </c>
      <c r="AB19" s="8">
        <f>IF(N19="",0,MAX(0,INDEX(Houses!$G$2:$G$18,MATCH(N19,Houses!$A$2:$A$18,0))-IF(INDEX(Houses!$H$2:$H$18,MATCH(N19,Houses!$A$2:$A$18,0))=1,SUMIF($N$8:N18,N19,$AB$8:AB18)+SUMIF($P$8:P18,N19,$AF$8:AF18),0)))</f>
        <v/>
      </c>
      <c r="AC19" s="8">
        <f>IF(P19="",0,IF(Q19="",8,INDEX(People!$E$2:$E$7,MATCH(Q19,People!$A$2:$A$7,0))))</f>
        <v/>
      </c>
      <c r="AD19" s="8">
        <f>IF(P19="",0,MAX(0,MIN(INDEX(Houses!$E$2:$E$18,MATCH(P19,Houses!$A$2:$A$18,0))-IF(INDEX(Houses!$H$2:$H$18,MATCH(P19,Houses!$A$2:$A$18,0))=1,SUMIF($P$8:P18,P19,$AD$8:AD18)+SUMIF($N$8:N18,P19,$Z$8:Z18)+IF(N19=P19,Z19,0),0),AC19)))</f>
        <v/>
      </c>
      <c r="AE19" s="8">
        <f>IF(P19="",0,MAX(0,MIN(INDEX(Houses!$F$2:$F$18,MATCH(P19,Houses!$A$2:$A$18,0))-IF(INDEX(Houses!$H$2:$H$18,MATCH(P19,Houses!$A$2:$A$18,0))=1,SUMIF($P$8:P18,P19,$AE$8:AE18)+SUMIF($N$8:N18,P19,$AA$8:AA18)+IF(N19=P19,AA19,0),0),INT((AC19-AD19)/2))))</f>
        <v/>
      </c>
      <c r="AF19" s="8">
        <f>IF(P19="",0,MAX(0,INDEX(Houses!$G$2:$G$18,MATCH(P19,Houses!$A$2:$A$18,0))-IF(INDEX(Houses!$H$2:$H$18,MATCH(P19,Houses!$A$2:$A$18,0))=1,SUMIF($P$8:P18,P19,$AF$8:AF18)+SUMIF($N$8:N18,P19,$AB$8:AB18)+IF(N19=P19,AB19,0),0)))</f>
        <v/>
      </c>
      <c r="AG19" s="9">
        <f>AG18+H19*Params!$B$24*F19-I19*Params!$B$25-J19*Params!$B$27</f>
        <v/>
      </c>
      <c r="AH19" s="9">
        <f>AH18+I19*Params!$B$25*Params!$B$26-K19*Params!$B$31-L19*Params!$B$33-M19*Params!$B$36+AA19+AE19</f>
        <v/>
      </c>
      <c r="AI19" s="9">
        <f>AI18+J19*Params!$B$27*Params!$B$28-X19*Params!$B$43*24</f>
        <v/>
      </c>
      <c r="AJ19" s="9">
        <f>AJ18-E19*Params!$B$22+Z19+AD19</f>
        <v/>
      </c>
      <c r="AK19" s="8">
        <f>AK18+AB19+AF19</f>
        <v/>
      </c>
      <c r="AL19" s="8">
        <f>MAX(0,AL18-M19)</f>
        <v/>
      </c>
      <c r="AM19" s="8">
        <f>MAX(0,AT18-K19)</f>
        <v/>
      </c>
      <c r="AN19" s="9">
        <f>AQ18+L19*Params!$B$35</f>
        <v/>
      </c>
      <c r="AO19" s="8">
        <f>IF(C19=0,0,INDEX(Nights!$B$2:$B$31,C19))</f>
        <v/>
      </c>
      <c r="AP19" s="9">
        <f>AO19*Params!$B$51*Params!$B$50</f>
        <v/>
      </c>
      <c r="AQ19" s="9">
        <f>MAX(0,AN19-AP19)</f>
        <v/>
      </c>
      <c r="AR19" s="8">
        <f>INT((AS18+MAX(0,AP19-AN19))/Params!$B$30)</f>
        <v/>
      </c>
      <c r="AS19" s="9">
        <f>(AS18+MAX(0,AP19-AN19))-AR19*Params!$B$30</f>
        <v/>
      </c>
      <c r="AT19" s="8">
        <f>AM19+AR19</f>
        <v/>
      </c>
      <c r="AU19" s="8">
        <f>IF(AND(AO19&gt;0,OR(AM19+AL19&gt;0,AR19&gt;0)),"BREACH","")</f>
        <v/>
      </c>
      <c r="AV19" s="13">
        <f>Params!$B$40+IF(AI19&lt;0,0,X19)*Params!$B$41-(AM19+AL19)*Params!$B$42</f>
        <v/>
      </c>
      <c r="AW19" s="9">
        <f>MAX(0,MIN(100,AW18-IF(AV19&lt;Params!$B$44,(Params!$B$44-AV19)*Params!$B$45,0)-IF(AJ19&lt;0,Params!$B$54,0)-IF(AU19="BREACH",Params!$B$53,0)-IF(T19="DARK",Params!$B$55,0)))</f>
        <v/>
      </c>
      <c r="AX19" s="8">
        <f>IF(AW19&lt;=0,"DEAD",TRIM(IF(V19&lt;0,"OVERWORK ","")&amp;IF(W19&lt;0,"NO-DAYLIGHT ","")&amp;IF(AG19&lt;0,"NO-LOGS ","")&amp;IF(AH19&lt;0,"NO-BOARDS ","")&amp;IF(AI19&lt;0,"NO-FUEL ","")&amp;IF(AJ19&lt;0,"HUNGER ","")&amp;AU19&amp;" "&amp;IF(T19="DARK","DARK-TRIP ","")&amp;IF(AV19&lt;Params!$B$44,"COLD","")))</f>
        <v/>
      </c>
    </row>
    <row r="20">
      <c r="A20" s="7" t="n">
        <v>12</v>
      </c>
      <c r="B20" s="8">
        <f>IF(A20&lt;=Params!$B$5,"prep","night")</f>
        <v/>
      </c>
      <c r="C20" s="8">
        <f>MAX(0,A20-Params!$B$5)</f>
        <v/>
      </c>
      <c r="D20" s="9">
        <f>IF(A20&lt;=Params!$B$5,ROUND(Params!$B$7-(Params!$B$7-Params!$B$8)*(A20-1)/(Params!$B$5-1),1),0)</f>
        <v/>
      </c>
      <c r="E20" s="8">
        <f>COUNTIFS(People!$F$2:$F$7,"&lt;="&amp;A20,People!$F$2:$F$7,"&gt;0")</f>
        <v/>
      </c>
      <c r="F20" s="10">
        <f>IF(E20=0,1,SUMIFS(People!$C$2:$C$7,People!$F$2:$F$7,"&lt;="&amp;A20,People!$F$2:$F$7,"&gt;0")/E20)</f>
        <v/>
      </c>
      <c r="G20" s="9">
        <f>E20*Params!$B$9</f>
        <v/>
      </c>
      <c r="H20" s="11" t="n">
        <v>4.2</v>
      </c>
      <c r="I20" s="11" t="n">
        <v>0</v>
      </c>
      <c r="J20" s="11" t="n">
        <v>1</v>
      </c>
      <c r="K20" s="12" t="n">
        <v>0</v>
      </c>
      <c r="L20" s="12" t="n">
        <v>0</v>
      </c>
      <c r="M20" s="12" t="n">
        <v>0</v>
      </c>
      <c r="N20" s="12" t="n"/>
      <c r="O20" s="12" t="n"/>
      <c r="P20" s="12" t="n"/>
      <c r="Q20" s="12" t="n"/>
      <c r="R20" s="9">
        <f>IF(N20="",0,(2*INDEX(Houses!$D$2:$D$18,MATCH(N20,Houses!$A$2:$A$18,0))+Params!$B$57)/IF(O20="",1,INDEX(People!$D$2:$D$7,MATCH(O20,People!$A$2:$A$7,0))))</f>
        <v/>
      </c>
      <c r="S20" s="9">
        <f>IF(P20="",0,(2*INDEX(Houses!$D$2:$D$18,MATCH(P20,Houses!$A$2:$A$18,0))+Params!$B$57)/IF(Q20="",1,INDEX(People!$D$2:$D$7,MATCH(Q20,People!$A$2:$A$7,0))))</f>
        <v/>
      </c>
      <c r="T20" s="8">
        <f>IF(AND(N20="",P20=""),"",IF(MAX(R20,S20)&lt;=D20,"ok","DARK"))</f>
        <v/>
      </c>
      <c r="U20" s="9">
        <f>H20+I20+J20+K20*Params!$B$32+L20*Params!$B$34+M20*Params!$B$37+R20+S20</f>
        <v/>
      </c>
      <c r="V20" s="9">
        <f>G20-U20</f>
        <v/>
      </c>
      <c r="W20" s="9">
        <f>D20*E20-(H20+R20+S20)</f>
        <v/>
      </c>
      <c r="X20" s="12" t="n">
        <v>1</v>
      </c>
      <c r="Y20" s="8">
        <f>IF(N20="",0,IF(O20="",8,INDEX(People!$E$2:$E$7,MATCH(O20,People!$A$2:$A$7,0))))</f>
        <v/>
      </c>
      <c r="Z20" s="8">
        <f>IF(N20="",0,MAX(0,MIN(INDEX(Houses!$E$2:$E$18,MATCH(N20,Houses!$A$2:$A$18,0))-IF(INDEX(Houses!$H$2:$H$18,MATCH(N20,Houses!$A$2:$A$18,0))=1,SUMIF($N$8:N19,N20,$Z$8:Z19)+SUMIF($P$8:P19,N20,$AD$8:AD19),0),Y20)))</f>
        <v/>
      </c>
      <c r="AA20" s="8">
        <f>IF(N20="",0,MAX(0,MIN(INDEX(Houses!$F$2:$F$18,MATCH(N20,Houses!$A$2:$A$18,0))-IF(INDEX(Houses!$H$2:$H$18,MATCH(N20,Houses!$A$2:$A$18,0))=1,SUMIF($N$8:N19,N20,$AA$8:AA19)+SUMIF($P$8:P19,N20,$AE$8:AE19),0),INT((Y20-Z20)/2))))</f>
        <v/>
      </c>
      <c r="AB20" s="8">
        <f>IF(N20="",0,MAX(0,INDEX(Houses!$G$2:$G$18,MATCH(N20,Houses!$A$2:$A$18,0))-IF(INDEX(Houses!$H$2:$H$18,MATCH(N20,Houses!$A$2:$A$18,0))=1,SUMIF($N$8:N19,N20,$AB$8:AB19)+SUMIF($P$8:P19,N20,$AF$8:AF19),0)))</f>
        <v/>
      </c>
      <c r="AC20" s="8">
        <f>IF(P20="",0,IF(Q20="",8,INDEX(People!$E$2:$E$7,MATCH(Q20,People!$A$2:$A$7,0))))</f>
        <v/>
      </c>
      <c r="AD20" s="8">
        <f>IF(P20="",0,MAX(0,MIN(INDEX(Houses!$E$2:$E$18,MATCH(P20,Houses!$A$2:$A$18,0))-IF(INDEX(Houses!$H$2:$H$18,MATCH(P20,Houses!$A$2:$A$18,0))=1,SUMIF($P$8:P19,P20,$AD$8:AD19)+SUMIF($N$8:N19,P20,$Z$8:Z19)+IF(N20=P20,Z20,0),0),AC20)))</f>
        <v/>
      </c>
      <c r="AE20" s="8">
        <f>IF(P20="",0,MAX(0,MIN(INDEX(Houses!$F$2:$F$18,MATCH(P20,Houses!$A$2:$A$18,0))-IF(INDEX(Houses!$H$2:$H$18,MATCH(P20,Houses!$A$2:$A$18,0))=1,SUMIF($P$8:P19,P20,$AE$8:AE19)+SUMIF($N$8:N19,P20,$AA$8:AA19)+IF(N20=P20,AA20,0),0),INT((AC20-AD20)/2))))</f>
        <v/>
      </c>
      <c r="AF20" s="8">
        <f>IF(P20="",0,MAX(0,INDEX(Houses!$G$2:$G$18,MATCH(P20,Houses!$A$2:$A$18,0))-IF(INDEX(Houses!$H$2:$H$18,MATCH(P20,Houses!$A$2:$A$18,0))=1,SUMIF($P$8:P19,P20,$AF$8:AF19)+SUMIF($N$8:N19,P20,$AB$8:AB19)+IF(N20=P20,AB20,0),0)))</f>
        <v/>
      </c>
      <c r="AG20" s="9">
        <f>AG19+H20*Params!$B$24*F20-I20*Params!$B$25-J20*Params!$B$27</f>
        <v/>
      </c>
      <c r="AH20" s="9">
        <f>AH19+I20*Params!$B$25*Params!$B$26-K20*Params!$B$31-L20*Params!$B$33-M20*Params!$B$36+AA20+AE20</f>
        <v/>
      </c>
      <c r="AI20" s="9">
        <f>AI19+J20*Params!$B$27*Params!$B$28-X20*Params!$B$43*24</f>
        <v/>
      </c>
      <c r="AJ20" s="9">
        <f>AJ19-E20*Params!$B$22+Z20+AD20</f>
        <v/>
      </c>
      <c r="AK20" s="8">
        <f>AK19+AB20+AF20</f>
        <v/>
      </c>
      <c r="AL20" s="8">
        <f>MAX(0,AL19-M20)</f>
        <v/>
      </c>
      <c r="AM20" s="8">
        <f>MAX(0,AT19-K20)</f>
        <v/>
      </c>
      <c r="AN20" s="9">
        <f>AQ19+L20*Params!$B$35</f>
        <v/>
      </c>
      <c r="AO20" s="8">
        <f>IF(C20=0,0,INDEX(Nights!$B$2:$B$31,C20))</f>
        <v/>
      </c>
      <c r="AP20" s="9">
        <f>AO20*Params!$B$51*Params!$B$50</f>
        <v/>
      </c>
      <c r="AQ20" s="9">
        <f>MAX(0,AN20-AP20)</f>
        <v/>
      </c>
      <c r="AR20" s="8">
        <f>INT((AS19+MAX(0,AP20-AN20))/Params!$B$30)</f>
        <v/>
      </c>
      <c r="AS20" s="9">
        <f>(AS19+MAX(0,AP20-AN20))-AR20*Params!$B$30</f>
        <v/>
      </c>
      <c r="AT20" s="8">
        <f>AM20+AR20</f>
        <v/>
      </c>
      <c r="AU20" s="8">
        <f>IF(AND(AO20&gt;0,OR(AM20+AL20&gt;0,AR20&gt;0)),"BREACH","")</f>
        <v/>
      </c>
      <c r="AV20" s="13">
        <f>Params!$B$40+IF(AI20&lt;0,0,X20)*Params!$B$41-(AM20+AL20)*Params!$B$42</f>
        <v/>
      </c>
      <c r="AW20" s="9">
        <f>MAX(0,MIN(100,AW19-IF(AV20&lt;Params!$B$44,(Params!$B$44-AV20)*Params!$B$45,0)-IF(AJ20&lt;0,Params!$B$54,0)-IF(AU20="BREACH",Params!$B$53,0)-IF(T20="DARK",Params!$B$55,0)))</f>
        <v/>
      </c>
      <c r="AX20" s="8">
        <f>IF(AW20&lt;=0,"DEAD",TRIM(IF(V20&lt;0,"OVERWORK ","")&amp;IF(W20&lt;0,"NO-DAYLIGHT ","")&amp;IF(AG20&lt;0,"NO-LOGS ","")&amp;IF(AH20&lt;0,"NO-BOARDS ","")&amp;IF(AI20&lt;0,"NO-FUEL ","")&amp;IF(AJ20&lt;0,"HUNGER ","")&amp;AU20&amp;" "&amp;IF(T20="DARK","DARK-TRIP ","")&amp;IF(AV20&lt;Params!$B$44,"COLD","")))</f>
        <v/>
      </c>
    </row>
    <row r="21">
      <c r="A21" s="7" t="n">
        <v>13</v>
      </c>
      <c r="B21" s="8">
        <f>IF(A21&lt;=Params!$B$5,"prep","night")</f>
        <v/>
      </c>
      <c r="C21" s="8">
        <f>MAX(0,A21-Params!$B$5)</f>
        <v/>
      </c>
      <c r="D21" s="9">
        <f>IF(A21&lt;=Params!$B$5,ROUND(Params!$B$7-(Params!$B$7-Params!$B$8)*(A21-1)/(Params!$B$5-1),1),0)</f>
        <v/>
      </c>
      <c r="E21" s="8">
        <f>COUNTIFS(People!$F$2:$F$7,"&lt;="&amp;A21,People!$F$2:$F$7,"&gt;0")</f>
        <v/>
      </c>
      <c r="F21" s="10">
        <f>IF(E21=0,1,SUMIFS(People!$C$2:$C$7,People!$F$2:$F$7,"&lt;="&amp;A21,People!$F$2:$F$7,"&gt;0")/E21)</f>
        <v/>
      </c>
      <c r="G21" s="9">
        <f>E21*Params!$B$9</f>
        <v/>
      </c>
      <c r="H21" s="11" t="n">
        <v>3</v>
      </c>
      <c r="I21" s="11" t="n">
        <v>0</v>
      </c>
      <c r="J21" s="11" t="n">
        <v>1</v>
      </c>
      <c r="K21" s="12" t="n">
        <v>0</v>
      </c>
      <c r="L21" s="12" t="n">
        <v>0</v>
      </c>
      <c r="M21" s="12" t="n">
        <v>0</v>
      </c>
      <c r="N21" s="12" t="n"/>
      <c r="O21" s="12" t="n"/>
      <c r="P21" s="12" t="n"/>
      <c r="Q21" s="12" t="n"/>
      <c r="R21" s="9">
        <f>IF(N21="",0,(2*INDEX(Houses!$D$2:$D$18,MATCH(N21,Houses!$A$2:$A$18,0))+Params!$B$57)/IF(O21="",1,INDEX(People!$D$2:$D$7,MATCH(O21,People!$A$2:$A$7,0))))</f>
        <v/>
      </c>
      <c r="S21" s="9">
        <f>IF(P21="",0,(2*INDEX(Houses!$D$2:$D$18,MATCH(P21,Houses!$A$2:$A$18,0))+Params!$B$57)/IF(Q21="",1,INDEX(People!$D$2:$D$7,MATCH(Q21,People!$A$2:$A$7,0))))</f>
        <v/>
      </c>
      <c r="T21" s="8">
        <f>IF(AND(N21="",P21=""),"",IF(MAX(R21,S21)&lt;=D21,"ok","DARK"))</f>
        <v/>
      </c>
      <c r="U21" s="9">
        <f>H21+I21+J21+K21*Params!$B$32+L21*Params!$B$34+M21*Params!$B$37+R21+S21</f>
        <v/>
      </c>
      <c r="V21" s="9">
        <f>G21-U21</f>
        <v/>
      </c>
      <c r="W21" s="9">
        <f>D21*E21-(H21+R21+S21)</f>
        <v/>
      </c>
      <c r="X21" s="12" t="n">
        <v>1</v>
      </c>
      <c r="Y21" s="8">
        <f>IF(N21="",0,IF(O21="",8,INDEX(People!$E$2:$E$7,MATCH(O21,People!$A$2:$A$7,0))))</f>
        <v/>
      </c>
      <c r="Z21" s="8">
        <f>IF(N21="",0,MAX(0,MIN(INDEX(Houses!$E$2:$E$18,MATCH(N21,Houses!$A$2:$A$18,0))-IF(INDEX(Houses!$H$2:$H$18,MATCH(N21,Houses!$A$2:$A$18,0))=1,SUMIF($N$8:N20,N21,$Z$8:Z20)+SUMIF($P$8:P20,N21,$AD$8:AD20),0),Y21)))</f>
        <v/>
      </c>
      <c r="AA21" s="8">
        <f>IF(N21="",0,MAX(0,MIN(INDEX(Houses!$F$2:$F$18,MATCH(N21,Houses!$A$2:$A$18,0))-IF(INDEX(Houses!$H$2:$H$18,MATCH(N21,Houses!$A$2:$A$18,0))=1,SUMIF($N$8:N20,N21,$AA$8:AA20)+SUMIF($P$8:P20,N21,$AE$8:AE20),0),INT((Y21-Z21)/2))))</f>
        <v/>
      </c>
      <c r="AB21" s="8">
        <f>IF(N21="",0,MAX(0,INDEX(Houses!$G$2:$G$18,MATCH(N21,Houses!$A$2:$A$18,0))-IF(INDEX(Houses!$H$2:$H$18,MATCH(N21,Houses!$A$2:$A$18,0))=1,SUMIF($N$8:N20,N21,$AB$8:AB20)+SUMIF($P$8:P20,N21,$AF$8:AF20),0)))</f>
        <v/>
      </c>
      <c r="AC21" s="8">
        <f>IF(P21="",0,IF(Q21="",8,INDEX(People!$E$2:$E$7,MATCH(Q21,People!$A$2:$A$7,0))))</f>
        <v/>
      </c>
      <c r="AD21" s="8">
        <f>IF(P21="",0,MAX(0,MIN(INDEX(Houses!$E$2:$E$18,MATCH(P21,Houses!$A$2:$A$18,0))-IF(INDEX(Houses!$H$2:$H$18,MATCH(P21,Houses!$A$2:$A$18,0))=1,SUMIF($P$8:P20,P21,$AD$8:AD20)+SUMIF($N$8:N20,P21,$Z$8:Z20)+IF(N21=P21,Z21,0),0),AC21)))</f>
        <v/>
      </c>
      <c r="AE21" s="8">
        <f>IF(P21="",0,MAX(0,MIN(INDEX(Houses!$F$2:$F$18,MATCH(P21,Houses!$A$2:$A$18,0))-IF(INDEX(Houses!$H$2:$H$18,MATCH(P21,Houses!$A$2:$A$18,0))=1,SUMIF($P$8:P20,P21,$AE$8:AE20)+SUMIF($N$8:N20,P21,$AA$8:AA20)+IF(N21=P21,AA21,0),0),INT((AC21-AD21)/2))))</f>
        <v/>
      </c>
      <c r="AF21" s="8">
        <f>IF(P21="",0,MAX(0,INDEX(Houses!$G$2:$G$18,MATCH(P21,Houses!$A$2:$A$18,0))-IF(INDEX(Houses!$H$2:$H$18,MATCH(P21,Houses!$A$2:$A$18,0))=1,SUMIF($P$8:P20,P21,$AF$8:AF20)+SUMIF($N$8:N20,P21,$AB$8:AB20)+IF(N21=P21,AB21,0),0)))</f>
        <v/>
      </c>
      <c r="AG21" s="9">
        <f>AG20+H21*Params!$B$24*F21-I21*Params!$B$25-J21*Params!$B$27</f>
        <v/>
      </c>
      <c r="AH21" s="9">
        <f>AH20+I21*Params!$B$25*Params!$B$26-K21*Params!$B$31-L21*Params!$B$33-M21*Params!$B$36+AA21+AE21</f>
        <v/>
      </c>
      <c r="AI21" s="9">
        <f>AI20+J21*Params!$B$27*Params!$B$28-X21*Params!$B$43*24</f>
        <v/>
      </c>
      <c r="AJ21" s="9">
        <f>AJ20-E21*Params!$B$22+Z21+AD21</f>
        <v/>
      </c>
      <c r="AK21" s="8">
        <f>AK20+AB21+AF21</f>
        <v/>
      </c>
      <c r="AL21" s="8">
        <f>MAX(0,AL20-M21)</f>
        <v/>
      </c>
      <c r="AM21" s="8">
        <f>MAX(0,AT20-K21)</f>
        <v/>
      </c>
      <c r="AN21" s="9">
        <f>AQ20+L21*Params!$B$35</f>
        <v/>
      </c>
      <c r="AO21" s="8">
        <f>IF(C21=0,0,INDEX(Nights!$B$2:$B$31,C21))</f>
        <v/>
      </c>
      <c r="AP21" s="9">
        <f>AO21*Params!$B$51*Params!$B$50</f>
        <v/>
      </c>
      <c r="AQ21" s="9">
        <f>MAX(0,AN21-AP21)</f>
        <v/>
      </c>
      <c r="AR21" s="8">
        <f>INT((AS20+MAX(0,AP21-AN21))/Params!$B$30)</f>
        <v/>
      </c>
      <c r="AS21" s="9">
        <f>(AS20+MAX(0,AP21-AN21))-AR21*Params!$B$30</f>
        <v/>
      </c>
      <c r="AT21" s="8">
        <f>AM21+AR21</f>
        <v/>
      </c>
      <c r="AU21" s="8">
        <f>IF(AND(AO21&gt;0,OR(AM21+AL21&gt;0,AR21&gt;0)),"BREACH","")</f>
        <v/>
      </c>
      <c r="AV21" s="13">
        <f>Params!$B$40+IF(AI21&lt;0,0,X21)*Params!$B$41-(AM21+AL21)*Params!$B$42</f>
        <v/>
      </c>
      <c r="AW21" s="9">
        <f>MAX(0,MIN(100,AW20-IF(AV21&lt;Params!$B$44,(Params!$B$44-AV21)*Params!$B$45,0)-IF(AJ21&lt;0,Params!$B$54,0)-IF(AU21="BREACH",Params!$B$53,0)-IF(T21="DARK",Params!$B$55,0)))</f>
        <v/>
      </c>
      <c r="AX21" s="8">
        <f>IF(AW21&lt;=0,"DEAD",TRIM(IF(V21&lt;0,"OVERWORK ","")&amp;IF(W21&lt;0,"NO-DAYLIGHT ","")&amp;IF(AG21&lt;0,"NO-LOGS ","")&amp;IF(AH21&lt;0,"NO-BOARDS ","")&amp;IF(AI21&lt;0,"NO-FUEL ","")&amp;IF(AJ21&lt;0,"HUNGER ","")&amp;AU21&amp;" "&amp;IF(T21="DARK","DARK-TRIP ","")&amp;IF(AV21&lt;Params!$B$44,"COLD","")))</f>
        <v/>
      </c>
    </row>
    <row r="22">
      <c r="A22" s="7" t="n">
        <v>14</v>
      </c>
      <c r="B22" s="8">
        <f>IF(A22&lt;=Params!$B$5,"prep","night")</f>
        <v/>
      </c>
      <c r="C22" s="8">
        <f>MAX(0,A22-Params!$B$5)</f>
        <v/>
      </c>
      <c r="D22" s="9">
        <f>IF(A22&lt;=Params!$B$5,ROUND(Params!$B$7-(Params!$B$7-Params!$B$8)*(A22-1)/(Params!$B$5-1),1),0)</f>
        <v/>
      </c>
      <c r="E22" s="8">
        <f>COUNTIFS(People!$F$2:$F$7,"&lt;="&amp;A22,People!$F$2:$F$7,"&gt;0")</f>
        <v/>
      </c>
      <c r="F22" s="10">
        <f>IF(E22=0,1,SUMIFS(People!$C$2:$C$7,People!$F$2:$F$7,"&lt;="&amp;A22,People!$F$2:$F$7,"&gt;0")/E22)</f>
        <v/>
      </c>
      <c r="G22" s="9">
        <f>E22*Params!$B$9</f>
        <v/>
      </c>
      <c r="H22" s="11" t="n">
        <v>2</v>
      </c>
      <c r="I22" s="11" t="n">
        <v>0</v>
      </c>
      <c r="J22" s="11" t="n">
        <v>2</v>
      </c>
      <c r="K22" s="12" t="n">
        <v>0</v>
      </c>
      <c r="L22" s="12" t="n">
        <v>0</v>
      </c>
      <c r="M22" s="12" t="n">
        <v>0</v>
      </c>
      <c r="N22" s="12" t="n"/>
      <c r="O22" s="12" t="n"/>
      <c r="P22" s="12" t="n"/>
      <c r="Q22" s="12" t="n"/>
      <c r="R22" s="9">
        <f>IF(N22="",0,(2*INDEX(Houses!$D$2:$D$18,MATCH(N22,Houses!$A$2:$A$18,0))+Params!$B$57)/IF(O22="",1,INDEX(People!$D$2:$D$7,MATCH(O22,People!$A$2:$A$7,0))))</f>
        <v/>
      </c>
      <c r="S22" s="9">
        <f>IF(P22="",0,(2*INDEX(Houses!$D$2:$D$18,MATCH(P22,Houses!$A$2:$A$18,0))+Params!$B$57)/IF(Q22="",1,INDEX(People!$D$2:$D$7,MATCH(Q22,People!$A$2:$A$7,0))))</f>
        <v/>
      </c>
      <c r="T22" s="8">
        <f>IF(AND(N22="",P22=""),"",IF(MAX(R22,S22)&lt;=D22,"ok","DARK"))</f>
        <v/>
      </c>
      <c r="U22" s="9">
        <f>H22+I22+J22+K22*Params!$B$32+L22*Params!$B$34+M22*Params!$B$37+R22+S22</f>
        <v/>
      </c>
      <c r="V22" s="9">
        <f>G22-U22</f>
        <v/>
      </c>
      <c r="W22" s="9">
        <f>D22*E22-(H22+R22+S22)</f>
        <v/>
      </c>
      <c r="X22" s="12" t="n">
        <v>1</v>
      </c>
      <c r="Y22" s="8">
        <f>IF(N22="",0,IF(O22="",8,INDEX(People!$E$2:$E$7,MATCH(O22,People!$A$2:$A$7,0))))</f>
        <v/>
      </c>
      <c r="Z22" s="8">
        <f>IF(N22="",0,MAX(0,MIN(INDEX(Houses!$E$2:$E$18,MATCH(N22,Houses!$A$2:$A$18,0))-IF(INDEX(Houses!$H$2:$H$18,MATCH(N22,Houses!$A$2:$A$18,0))=1,SUMIF($N$8:N21,N22,$Z$8:Z21)+SUMIF($P$8:P21,N22,$AD$8:AD21),0),Y22)))</f>
        <v/>
      </c>
      <c r="AA22" s="8">
        <f>IF(N22="",0,MAX(0,MIN(INDEX(Houses!$F$2:$F$18,MATCH(N22,Houses!$A$2:$A$18,0))-IF(INDEX(Houses!$H$2:$H$18,MATCH(N22,Houses!$A$2:$A$18,0))=1,SUMIF($N$8:N21,N22,$AA$8:AA21)+SUMIF($P$8:P21,N22,$AE$8:AE21),0),INT((Y22-Z22)/2))))</f>
        <v/>
      </c>
      <c r="AB22" s="8">
        <f>IF(N22="",0,MAX(0,INDEX(Houses!$G$2:$G$18,MATCH(N22,Houses!$A$2:$A$18,0))-IF(INDEX(Houses!$H$2:$H$18,MATCH(N22,Houses!$A$2:$A$18,0))=1,SUMIF($N$8:N21,N22,$AB$8:AB21)+SUMIF($P$8:P21,N22,$AF$8:AF21),0)))</f>
        <v/>
      </c>
      <c r="AC22" s="8">
        <f>IF(P22="",0,IF(Q22="",8,INDEX(People!$E$2:$E$7,MATCH(Q22,People!$A$2:$A$7,0))))</f>
        <v/>
      </c>
      <c r="AD22" s="8">
        <f>IF(P22="",0,MAX(0,MIN(INDEX(Houses!$E$2:$E$18,MATCH(P22,Houses!$A$2:$A$18,0))-IF(INDEX(Houses!$H$2:$H$18,MATCH(P22,Houses!$A$2:$A$18,0))=1,SUMIF($P$8:P21,P22,$AD$8:AD21)+SUMIF($N$8:N21,P22,$Z$8:Z21)+IF(N22=P22,Z22,0),0),AC22)))</f>
        <v/>
      </c>
      <c r="AE22" s="8">
        <f>IF(P22="",0,MAX(0,MIN(INDEX(Houses!$F$2:$F$18,MATCH(P22,Houses!$A$2:$A$18,0))-IF(INDEX(Houses!$H$2:$H$18,MATCH(P22,Houses!$A$2:$A$18,0))=1,SUMIF($P$8:P21,P22,$AE$8:AE21)+SUMIF($N$8:N21,P22,$AA$8:AA21)+IF(N22=P22,AA22,0),0),INT((AC22-AD22)/2))))</f>
        <v/>
      </c>
      <c r="AF22" s="8">
        <f>IF(P22="",0,MAX(0,INDEX(Houses!$G$2:$G$18,MATCH(P22,Houses!$A$2:$A$18,0))-IF(INDEX(Houses!$H$2:$H$18,MATCH(P22,Houses!$A$2:$A$18,0))=1,SUMIF($P$8:P21,P22,$AF$8:AF21)+SUMIF($N$8:N21,P22,$AB$8:AB21)+IF(N22=P22,AB22,0),0)))</f>
        <v/>
      </c>
      <c r="AG22" s="9">
        <f>AG21+H22*Params!$B$24*F22-I22*Params!$B$25-J22*Params!$B$27</f>
        <v/>
      </c>
      <c r="AH22" s="9">
        <f>AH21+I22*Params!$B$25*Params!$B$26-K22*Params!$B$31-L22*Params!$B$33-M22*Params!$B$36+AA22+AE22</f>
        <v/>
      </c>
      <c r="AI22" s="9">
        <f>AI21+J22*Params!$B$27*Params!$B$28-X22*Params!$B$43*24</f>
        <v/>
      </c>
      <c r="AJ22" s="9">
        <f>AJ21-E22*Params!$B$22+Z22+AD22</f>
        <v/>
      </c>
      <c r="AK22" s="8">
        <f>AK21+AB22+AF22</f>
        <v/>
      </c>
      <c r="AL22" s="8">
        <f>MAX(0,AL21-M22)</f>
        <v/>
      </c>
      <c r="AM22" s="8">
        <f>MAX(0,AT21-K22)</f>
        <v/>
      </c>
      <c r="AN22" s="9">
        <f>AQ21+L22*Params!$B$35</f>
        <v/>
      </c>
      <c r="AO22" s="8">
        <f>IF(C22=0,0,INDEX(Nights!$B$2:$B$31,C22))</f>
        <v/>
      </c>
      <c r="AP22" s="9">
        <f>AO22*Params!$B$51*Params!$B$50</f>
        <v/>
      </c>
      <c r="AQ22" s="9">
        <f>MAX(0,AN22-AP22)</f>
        <v/>
      </c>
      <c r="AR22" s="8">
        <f>INT((AS21+MAX(0,AP22-AN22))/Params!$B$30)</f>
        <v/>
      </c>
      <c r="AS22" s="9">
        <f>(AS21+MAX(0,AP22-AN22))-AR22*Params!$B$30</f>
        <v/>
      </c>
      <c r="AT22" s="8">
        <f>AM22+AR22</f>
        <v/>
      </c>
      <c r="AU22" s="8">
        <f>IF(AND(AO22&gt;0,OR(AM22+AL22&gt;0,AR22&gt;0)),"BREACH","")</f>
        <v/>
      </c>
      <c r="AV22" s="13">
        <f>Params!$B$40+IF(AI22&lt;0,0,X22)*Params!$B$41-(AM22+AL22)*Params!$B$42</f>
        <v/>
      </c>
      <c r="AW22" s="9">
        <f>MAX(0,MIN(100,AW21-IF(AV22&lt;Params!$B$44,(Params!$B$44-AV22)*Params!$B$45,0)-IF(AJ22&lt;0,Params!$B$54,0)-IF(AU22="BREACH",Params!$B$53,0)-IF(T22="DARK",Params!$B$55,0)))</f>
        <v/>
      </c>
      <c r="AX22" s="8">
        <f>IF(AW22&lt;=0,"DEAD",TRIM(IF(V22&lt;0,"OVERWORK ","")&amp;IF(W22&lt;0,"NO-DAYLIGHT ","")&amp;IF(AG22&lt;0,"NO-LOGS ","")&amp;IF(AH22&lt;0,"NO-BOARDS ","")&amp;IF(AI22&lt;0,"NO-FUEL ","")&amp;IF(AJ22&lt;0,"HUNGER ","")&amp;AU22&amp;" "&amp;IF(T22="DARK","DARK-TRIP ","")&amp;IF(AV22&lt;Params!$B$44,"COLD","")))</f>
        <v/>
      </c>
    </row>
    <row r="23">
      <c r="A23" s="7" t="n">
        <v>15</v>
      </c>
      <c r="B23" s="8">
        <f>IF(A23&lt;=Params!$B$5,"prep","night")</f>
        <v/>
      </c>
      <c r="C23" s="8">
        <f>MAX(0,A23-Params!$B$5)</f>
        <v/>
      </c>
      <c r="D23" s="9">
        <f>IF(A23&lt;=Params!$B$5,ROUND(Params!$B$7-(Params!$B$7-Params!$B$8)*(A23-1)/(Params!$B$5-1),1),0)</f>
        <v/>
      </c>
      <c r="E23" s="8">
        <f>COUNTIFS(People!$F$2:$F$7,"&lt;="&amp;A23,People!$F$2:$F$7,"&gt;0")</f>
        <v/>
      </c>
      <c r="F23" s="10">
        <f>IF(E23=0,1,SUMIFS(People!$C$2:$C$7,People!$F$2:$F$7,"&lt;="&amp;A23,People!$F$2:$F$7,"&gt;0")/E23)</f>
        <v/>
      </c>
      <c r="G23" s="9">
        <f>E23*Params!$B$9</f>
        <v/>
      </c>
      <c r="H23" s="11" t="n">
        <v>0</v>
      </c>
      <c r="I23" s="11" t="n">
        <v>0</v>
      </c>
      <c r="J23" s="11" t="n">
        <v>1</v>
      </c>
      <c r="K23" s="12" t="n">
        <v>0</v>
      </c>
      <c r="L23" s="12" t="n">
        <v>3</v>
      </c>
      <c r="M23" s="12" t="n">
        <v>0</v>
      </c>
      <c r="N23" s="12" t="n"/>
      <c r="O23" s="12" t="n"/>
      <c r="P23" s="12" t="n"/>
      <c r="Q23" s="12" t="n"/>
      <c r="R23" s="9">
        <f>IF(N23="",0,(2*INDEX(Houses!$D$2:$D$18,MATCH(N23,Houses!$A$2:$A$18,0))+Params!$B$57)/IF(O23="",1,INDEX(People!$D$2:$D$7,MATCH(O23,People!$A$2:$A$7,0))))</f>
        <v/>
      </c>
      <c r="S23" s="9">
        <f>IF(P23="",0,(2*INDEX(Houses!$D$2:$D$18,MATCH(P23,Houses!$A$2:$A$18,0))+Params!$B$57)/IF(Q23="",1,INDEX(People!$D$2:$D$7,MATCH(Q23,People!$A$2:$A$7,0))))</f>
        <v/>
      </c>
      <c r="T23" s="8">
        <f>IF(AND(N23="",P23=""),"",IF(MAX(R23,S23)&lt;=D23,"ok","DARK"))</f>
        <v/>
      </c>
      <c r="U23" s="9">
        <f>H23+I23+J23+K23*Params!$B$32+L23*Params!$B$34+M23*Params!$B$37+R23+S23</f>
        <v/>
      </c>
      <c r="V23" s="9">
        <f>G23-U23</f>
        <v/>
      </c>
      <c r="W23" s="9">
        <f>D23*E23-(H23+R23+S23)</f>
        <v/>
      </c>
      <c r="X23" s="12" t="n">
        <v>1</v>
      </c>
      <c r="Y23" s="8">
        <f>IF(N23="",0,IF(O23="",8,INDEX(People!$E$2:$E$7,MATCH(O23,People!$A$2:$A$7,0))))</f>
        <v/>
      </c>
      <c r="Z23" s="8">
        <f>IF(N23="",0,MAX(0,MIN(INDEX(Houses!$E$2:$E$18,MATCH(N23,Houses!$A$2:$A$18,0))-IF(INDEX(Houses!$H$2:$H$18,MATCH(N23,Houses!$A$2:$A$18,0))=1,SUMIF($N$8:N22,N23,$Z$8:Z22)+SUMIF($P$8:P22,N23,$AD$8:AD22),0),Y23)))</f>
        <v/>
      </c>
      <c r="AA23" s="8">
        <f>IF(N23="",0,MAX(0,MIN(INDEX(Houses!$F$2:$F$18,MATCH(N23,Houses!$A$2:$A$18,0))-IF(INDEX(Houses!$H$2:$H$18,MATCH(N23,Houses!$A$2:$A$18,0))=1,SUMIF($N$8:N22,N23,$AA$8:AA22)+SUMIF($P$8:P22,N23,$AE$8:AE22),0),INT((Y23-Z23)/2))))</f>
        <v/>
      </c>
      <c r="AB23" s="8">
        <f>IF(N23="",0,MAX(0,INDEX(Houses!$G$2:$G$18,MATCH(N23,Houses!$A$2:$A$18,0))-IF(INDEX(Houses!$H$2:$H$18,MATCH(N23,Houses!$A$2:$A$18,0))=1,SUMIF($N$8:N22,N23,$AB$8:AB22)+SUMIF($P$8:P22,N23,$AF$8:AF22),0)))</f>
        <v/>
      </c>
      <c r="AC23" s="8">
        <f>IF(P23="",0,IF(Q23="",8,INDEX(People!$E$2:$E$7,MATCH(Q23,People!$A$2:$A$7,0))))</f>
        <v/>
      </c>
      <c r="AD23" s="8">
        <f>IF(P23="",0,MAX(0,MIN(INDEX(Houses!$E$2:$E$18,MATCH(P23,Houses!$A$2:$A$18,0))-IF(INDEX(Houses!$H$2:$H$18,MATCH(P23,Houses!$A$2:$A$18,0))=1,SUMIF($P$8:P22,P23,$AD$8:AD22)+SUMIF($N$8:N22,P23,$Z$8:Z22)+IF(N23=P23,Z23,0),0),AC23)))</f>
        <v/>
      </c>
      <c r="AE23" s="8">
        <f>IF(P23="",0,MAX(0,MIN(INDEX(Houses!$F$2:$F$18,MATCH(P23,Houses!$A$2:$A$18,0))-IF(INDEX(Houses!$H$2:$H$18,MATCH(P23,Houses!$A$2:$A$18,0))=1,SUMIF($P$8:P22,P23,$AE$8:AE22)+SUMIF($N$8:N22,P23,$AA$8:AA22)+IF(N23=P23,AA23,0),0),INT((AC23-AD23)/2))))</f>
        <v/>
      </c>
      <c r="AF23" s="8">
        <f>IF(P23="",0,MAX(0,INDEX(Houses!$G$2:$G$18,MATCH(P23,Houses!$A$2:$A$18,0))-IF(INDEX(Houses!$H$2:$H$18,MATCH(P23,Houses!$A$2:$A$18,0))=1,SUMIF($P$8:P22,P23,$AF$8:AF22)+SUMIF($N$8:N22,P23,$AB$8:AB22)+IF(N23=P23,AB23,0),0)))</f>
        <v/>
      </c>
      <c r="AG23" s="9">
        <f>AG22+H23*Params!$B$24*F23-I23*Params!$B$25-J23*Params!$B$27</f>
        <v/>
      </c>
      <c r="AH23" s="9">
        <f>AH22+I23*Params!$B$25*Params!$B$26-K23*Params!$B$31-L23*Params!$B$33-M23*Params!$B$36+AA23+AE23</f>
        <v/>
      </c>
      <c r="AI23" s="9">
        <f>AI22+J23*Params!$B$27*Params!$B$28-X23*Params!$B$43*24</f>
        <v/>
      </c>
      <c r="AJ23" s="9">
        <f>AJ22-E23*Params!$B$22+Z23+AD23</f>
        <v/>
      </c>
      <c r="AK23" s="8">
        <f>AK22+AB23+AF23</f>
        <v/>
      </c>
      <c r="AL23" s="8">
        <f>MAX(0,AL22-M23)</f>
        <v/>
      </c>
      <c r="AM23" s="8">
        <f>MAX(0,AT22-K23)</f>
        <v/>
      </c>
      <c r="AN23" s="9">
        <f>AQ22+L23*Params!$B$35</f>
        <v/>
      </c>
      <c r="AO23" s="8">
        <f>IF(C23=0,0,INDEX(Nights!$B$2:$B$31,C23))</f>
        <v/>
      </c>
      <c r="AP23" s="9">
        <f>AO23*Params!$B$51*Params!$B$50</f>
        <v/>
      </c>
      <c r="AQ23" s="9">
        <f>MAX(0,AN23-AP23)</f>
        <v/>
      </c>
      <c r="AR23" s="8">
        <f>INT((AS22+MAX(0,AP23-AN23))/Params!$B$30)</f>
        <v/>
      </c>
      <c r="AS23" s="9">
        <f>(AS22+MAX(0,AP23-AN23))-AR23*Params!$B$30</f>
        <v/>
      </c>
      <c r="AT23" s="8">
        <f>AM23+AR23</f>
        <v/>
      </c>
      <c r="AU23" s="8">
        <f>IF(AND(AO23&gt;0,OR(AM23+AL23&gt;0,AR23&gt;0)),"BREACH","")</f>
        <v/>
      </c>
      <c r="AV23" s="13">
        <f>Params!$B$40+IF(AI23&lt;0,0,X23)*Params!$B$41-(AM23+AL23)*Params!$B$42</f>
        <v/>
      </c>
      <c r="AW23" s="9">
        <f>MAX(0,MIN(100,AW22-IF(AV23&lt;Params!$B$44,(Params!$B$44-AV23)*Params!$B$45,0)-IF(AJ23&lt;0,Params!$B$54,0)-IF(AU23="BREACH",Params!$B$53,0)-IF(T23="DARK",Params!$B$55,0)))</f>
        <v/>
      </c>
      <c r="AX23" s="8">
        <f>IF(AW23&lt;=0,"DEAD",TRIM(IF(V23&lt;0,"OVERWORK ","")&amp;IF(W23&lt;0,"NO-DAYLIGHT ","")&amp;IF(AG23&lt;0,"NO-LOGS ","")&amp;IF(AH23&lt;0,"NO-BOARDS ","")&amp;IF(AI23&lt;0,"NO-FUEL ","")&amp;IF(AJ23&lt;0,"HUNGER ","")&amp;AU23&amp;" "&amp;IF(T23="DARK","DARK-TRIP ","")&amp;IF(AV23&lt;Params!$B$44,"COLD","")))</f>
        <v/>
      </c>
    </row>
    <row r="24">
      <c r="A24" s="7" t="n">
        <v>16</v>
      </c>
      <c r="B24" s="8">
        <f>IF(A24&lt;=Params!$B$5,"prep","night")</f>
        <v/>
      </c>
      <c r="C24" s="8">
        <f>MAX(0,A24-Params!$B$5)</f>
        <v/>
      </c>
      <c r="D24" s="9">
        <f>IF(A24&lt;=Params!$B$5,ROUND(Params!$B$7-(Params!$B$7-Params!$B$8)*(A24-1)/(Params!$B$5-1),1),0)</f>
        <v/>
      </c>
      <c r="E24" s="8">
        <f>COUNTIFS(People!$F$2:$F$7,"&lt;="&amp;A24,People!$F$2:$F$7,"&gt;0")</f>
        <v/>
      </c>
      <c r="F24" s="10">
        <f>IF(E24=0,1,SUMIFS(People!$C$2:$C$7,People!$F$2:$F$7,"&lt;="&amp;A24,People!$F$2:$F$7,"&gt;0")/E24)</f>
        <v/>
      </c>
      <c r="G24" s="9">
        <f>E24*Params!$B$9</f>
        <v/>
      </c>
      <c r="H24" s="11" t="n">
        <v>0</v>
      </c>
      <c r="I24" s="11" t="n">
        <v>0</v>
      </c>
      <c r="J24" s="11" t="n">
        <v>1</v>
      </c>
      <c r="K24" s="12" t="n">
        <v>0</v>
      </c>
      <c r="L24" s="12" t="n">
        <v>0</v>
      </c>
      <c r="M24" s="12" t="n">
        <v>0</v>
      </c>
      <c r="N24" s="12" t="n"/>
      <c r="O24" s="12" t="n"/>
      <c r="P24" s="12" t="n"/>
      <c r="Q24" s="12" t="n"/>
      <c r="R24" s="9">
        <f>IF(N24="",0,(2*INDEX(Houses!$D$2:$D$18,MATCH(N24,Houses!$A$2:$A$18,0))+Params!$B$57)/IF(O24="",1,INDEX(People!$D$2:$D$7,MATCH(O24,People!$A$2:$A$7,0))))</f>
        <v/>
      </c>
      <c r="S24" s="9">
        <f>IF(P24="",0,(2*INDEX(Houses!$D$2:$D$18,MATCH(P24,Houses!$A$2:$A$18,0))+Params!$B$57)/IF(Q24="",1,INDEX(People!$D$2:$D$7,MATCH(Q24,People!$A$2:$A$7,0))))</f>
        <v/>
      </c>
      <c r="T24" s="8">
        <f>IF(AND(N24="",P24=""),"",IF(MAX(R24,S24)&lt;=D24,"ok","DARK"))</f>
        <v/>
      </c>
      <c r="U24" s="9">
        <f>H24+I24+J24+K24*Params!$B$32+L24*Params!$B$34+M24*Params!$B$37+R24+S24</f>
        <v/>
      </c>
      <c r="V24" s="9">
        <f>G24-U24</f>
        <v/>
      </c>
      <c r="W24" s="9">
        <f>D24*E24-(H24+R24+S24)</f>
        <v/>
      </c>
      <c r="X24" s="12" t="n">
        <v>1</v>
      </c>
      <c r="Y24" s="8">
        <f>IF(N24="",0,IF(O24="",8,INDEX(People!$E$2:$E$7,MATCH(O24,People!$A$2:$A$7,0))))</f>
        <v/>
      </c>
      <c r="Z24" s="8">
        <f>IF(N24="",0,MAX(0,MIN(INDEX(Houses!$E$2:$E$18,MATCH(N24,Houses!$A$2:$A$18,0))-IF(INDEX(Houses!$H$2:$H$18,MATCH(N24,Houses!$A$2:$A$18,0))=1,SUMIF($N$8:N23,N24,$Z$8:Z23)+SUMIF($P$8:P23,N24,$AD$8:AD23),0),Y24)))</f>
        <v/>
      </c>
      <c r="AA24" s="8">
        <f>IF(N24="",0,MAX(0,MIN(INDEX(Houses!$F$2:$F$18,MATCH(N24,Houses!$A$2:$A$18,0))-IF(INDEX(Houses!$H$2:$H$18,MATCH(N24,Houses!$A$2:$A$18,0))=1,SUMIF($N$8:N23,N24,$AA$8:AA23)+SUMIF($P$8:P23,N24,$AE$8:AE23),0),INT((Y24-Z24)/2))))</f>
        <v/>
      </c>
      <c r="AB24" s="8">
        <f>IF(N24="",0,MAX(0,INDEX(Houses!$G$2:$G$18,MATCH(N24,Houses!$A$2:$A$18,0))-IF(INDEX(Houses!$H$2:$H$18,MATCH(N24,Houses!$A$2:$A$18,0))=1,SUMIF($N$8:N23,N24,$AB$8:AB23)+SUMIF($P$8:P23,N24,$AF$8:AF23),0)))</f>
        <v/>
      </c>
      <c r="AC24" s="8">
        <f>IF(P24="",0,IF(Q24="",8,INDEX(People!$E$2:$E$7,MATCH(Q24,People!$A$2:$A$7,0))))</f>
        <v/>
      </c>
      <c r="AD24" s="8">
        <f>IF(P24="",0,MAX(0,MIN(INDEX(Houses!$E$2:$E$18,MATCH(P24,Houses!$A$2:$A$18,0))-IF(INDEX(Houses!$H$2:$H$18,MATCH(P24,Houses!$A$2:$A$18,0))=1,SUMIF($P$8:P23,P24,$AD$8:AD23)+SUMIF($N$8:N23,P24,$Z$8:Z23)+IF(N24=P24,Z24,0),0),AC24)))</f>
        <v/>
      </c>
      <c r="AE24" s="8">
        <f>IF(P24="",0,MAX(0,MIN(INDEX(Houses!$F$2:$F$18,MATCH(P24,Houses!$A$2:$A$18,0))-IF(INDEX(Houses!$H$2:$H$18,MATCH(P24,Houses!$A$2:$A$18,0))=1,SUMIF($P$8:P23,P24,$AE$8:AE23)+SUMIF($N$8:N23,P24,$AA$8:AA23)+IF(N24=P24,AA24,0),0),INT((AC24-AD24)/2))))</f>
        <v/>
      </c>
      <c r="AF24" s="8">
        <f>IF(P24="",0,MAX(0,INDEX(Houses!$G$2:$G$18,MATCH(P24,Houses!$A$2:$A$18,0))-IF(INDEX(Houses!$H$2:$H$18,MATCH(P24,Houses!$A$2:$A$18,0))=1,SUMIF($P$8:P23,P24,$AF$8:AF23)+SUMIF($N$8:N23,P24,$AB$8:AB23)+IF(N24=P24,AB24,0),0)))</f>
        <v/>
      </c>
      <c r="AG24" s="9">
        <f>AG23+H24*Params!$B$24*F24-I24*Params!$B$25-J24*Params!$B$27</f>
        <v/>
      </c>
      <c r="AH24" s="9">
        <f>AH23+I24*Params!$B$25*Params!$B$26-K24*Params!$B$31-L24*Params!$B$33-M24*Params!$B$36+AA24+AE24</f>
        <v/>
      </c>
      <c r="AI24" s="9">
        <f>AI23+J24*Params!$B$27*Params!$B$28-X24*Params!$B$43*24</f>
        <v/>
      </c>
      <c r="AJ24" s="9">
        <f>AJ23-E24*Params!$B$22+Z24+AD24</f>
        <v/>
      </c>
      <c r="AK24" s="8">
        <f>AK23+AB24+AF24</f>
        <v/>
      </c>
      <c r="AL24" s="8">
        <f>MAX(0,AL23-M24)</f>
        <v/>
      </c>
      <c r="AM24" s="8">
        <f>MAX(0,AT23-K24)</f>
        <v/>
      </c>
      <c r="AN24" s="9">
        <f>AQ23+L24*Params!$B$35</f>
        <v/>
      </c>
      <c r="AO24" s="8">
        <f>IF(C24=0,0,INDEX(Nights!$B$2:$B$31,C24))</f>
        <v/>
      </c>
      <c r="AP24" s="9">
        <f>AO24*Params!$B$51*Params!$B$50</f>
        <v/>
      </c>
      <c r="AQ24" s="9">
        <f>MAX(0,AN24-AP24)</f>
        <v/>
      </c>
      <c r="AR24" s="8">
        <f>INT((AS23+MAX(0,AP24-AN24))/Params!$B$30)</f>
        <v/>
      </c>
      <c r="AS24" s="9">
        <f>(AS23+MAX(0,AP24-AN24))-AR24*Params!$B$30</f>
        <v/>
      </c>
      <c r="AT24" s="8">
        <f>AM24+AR24</f>
        <v/>
      </c>
      <c r="AU24" s="8">
        <f>IF(AND(AO24&gt;0,OR(AM24+AL24&gt;0,AR24&gt;0)),"BREACH","")</f>
        <v/>
      </c>
      <c r="AV24" s="13">
        <f>Params!$B$40+IF(AI24&lt;0,0,X24)*Params!$B$41-(AM24+AL24)*Params!$B$42</f>
        <v/>
      </c>
      <c r="AW24" s="9">
        <f>MAX(0,MIN(100,AW23-IF(AV24&lt;Params!$B$44,(Params!$B$44-AV24)*Params!$B$45,0)-IF(AJ24&lt;0,Params!$B$54,0)-IF(AU24="BREACH",Params!$B$53,0)-IF(T24="DARK",Params!$B$55,0)))</f>
        <v/>
      </c>
      <c r="AX24" s="8">
        <f>IF(AW24&lt;=0,"DEAD",TRIM(IF(V24&lt;0,"OVERWORK ","")&amp;IF(W24&lt;0,"NO-DAYLIGHT ","")&amp;IF(AG24&lt;0,"NO-LOGS ","")&amp;IF(AH24&lt;0,"NO-BOARDS ","")&amp;IF(AI24&lt;0,"NO-FUEL ","")&amp;IF(AJ24&lt;0,"HUNGER ","")&amp;AU24&amp;" "&amp;IF(T24="DARK","DARK-TRIP ","")&amp;IF(AV24&lt;Params!$B$44,"COLD","")))</f>
        <v/>
      </c>
    </row>
    <row r="25">
      <c r="A25" s="7" t="n">
        <v>17</v>
      </c>
      <c r="B25" s="8">
        <f>IF(A25&lt;=Params!$B$5,"prep","night")</f>
        <v/>
      </c>
      <c r="C25" s="8">
        <f>MAX(0,A25-Params!$B$5)</f>
        <v/>
      </c>
      <c r="D25" s="9">
        <f>IF(A25&lt;=Params!$B$5,ROUND(Params!$B$7-(Params!$B$7-Params!$B$8)*(A25-1)/(Params!$B$5-1),1),0)</f>
        <v/>
      </c>
      <c r="E25" s="8">
        <f>COUNTIFS(People!$F$2:$F$7,"&lt;="&amp;A25,People!$F$2:$F$7,"&gt;0")</f>
        <v/>
      </c>
      <c r="F25" s="10">
        <f>IF(E25=0,1,SUMIFS(People!$C$2:$C$7,People!$F$2:$F$7,"&lt;="&amp;A25,People!$F$2:$F$7,"&gt;0")/E25)</f>
        <v/>
      </c>
      <c r="G25" s="9">
        <f>E25*Params!$B$9</f>
        <v/>
      </c>
      <c r="H25" s="11" t="n">
        <v>0</v>
      </c>
      <c r="I25" s="11" t="n">
        <v>0</v>
      </c>
      <c r="J25" s="11" t="n">
        <v>2</v>
      </c>
      <c r="K25" s="12" t="n">
        <v>0</v>
      </c>
      <c r="L25" s="12" t="n">
        <v>2</v>
      </c>
      <c r="M25" s="12" t="n">
        <v>0</v>
      </c>
      <c r="N25" s="12" t="n"/>
      <c r="O25" s="12" t="n"/>
      <c r="P25" s="12" t="n"/>
      <c r="Q25" s="12" t="n"/>
      <c r="R25" s="9">
        <f>IF(N25="",0,(2*INDEX(Houses!$D$2:$D$18,MATCH(N25,Houses!$A$2:$A$18,0))+Params!$B$57)/IF(O25="",1,INDEX(People!$D$2:$D$7,MATCH(O25,People!$A$2:$A$7,0))))</f>
        <v/>
      </c>
      <c r="S25" s="9">
        <f>IF(P25="",0,(2*INDEX(Houses!$D$2:$D$18,MATCH(P25,Houses!$A$2:$A$18,0))+Params!$B$57)/IF(Q25="",1,INDEX(People!$D$2:$D$7,MATCH(Q25,People!$A$2:$A$7,0))))</f>
        <v/>
      </c>
      <c r="T25" s="8">
        <f>IF(AND(N25="",P25=""),"",IF(MAX(R25,S25)&lt;=D25,"ok","DARK"))</f>
        <v/>
      </c>
      <c r="U25" s="9">
        <f>H25+I25+J25+K25*Params!$B$32+L25*Params!$B$34+M25*Params!$B$37+R25+S25</f>
        <v/>
      </c>
      <c r="V25" s="9">
        <f>G25-U25</f>
        <v/>
      </c>
      <c r="W25" s="9">
        <f>D25*E25-(H25+R25+S25)</f>
        <v/>
      </c>
      <c r="X25" s="12" t="n">
        <v>1</v>
      </c>
      <c r="Y25" s="8">
        <f>IF(N25="",0,IF(O25="",8,INDEX(People!$E$2:$E$7,MATCH(O25,People!$A$2:$A$7,0))))</f>
        <v/>
      </c>
      <c r="Z25" s="8">
        <f>IF(N25="",0,MAX(0,MIN(INDEX(Houses!$E$2:$E$18,MATCH(N25,Houses!$A$2:$A$18,0))-IF(INDEX(Houses!$H$2:$H$18,MATCH(N25,Houses!$A$2:$A$18,0))=1,SUMIF($N$8:N24,N25,$Z$8:Z24)+SUMIF($P$8:P24,N25,$AD$8:AD24),0),Y25)))</f>
        <v/>
      </c>
      <c r="AA25" s="8">
        <f>IF(N25="",0,MAX(0,MIN(INDEX(Houses!$F$2:$F$18,MATCH(N25,Houses!$A$2:$A$18,0))-IF(INDEX(Houses!$H$2:$H$18,MATCH(N25,Houses!$A$2:$A$18,0))=1,SUMIF($N$8:N24,N25,$AA$8:AA24)+SUMIF($P$8:P24,N25,$AE$8:AE24),0),INT((Y25-Z25)/2))))</f>
        <v/>
      </c>
      <c r="AB25" s="8">
        <f>IF(N25="",0,MAX(0,INDEX(Houses!$G$2:$G$18,MATCH(N25,Houses!$A$2:$A$18,0))-IF(INDEX(Houses!$H$2:$H$18,MATCH(N25,Houses!$A$2:$A$18,0))=1,SUMIF($N$8:N24,N25,$AB$8:AB24)+SUMIF($P$8:P24,N25,$AF$8:AF24),0)))</f>
        <v/>
      </c>
      <c r="AC25" s="8">
        <f>IF(P25="",0,IF(Q25="",8,INDEX(People!$E$2:$E$7,MATCH(Q25,People!$A$2:$A$7,0))))</f>
        <v/>
      </c>
      <c r="AD25" s="8">
        <f>IF(P25="",0,MAX(0,MIN(INDEX(Houses!$E$2:$E$18,MATCH(P25,Houses!$A$2:$A$18,0))-IF(INDEX(Houses!$H$2:$H$18,MATCH(P25,Houses!$A$2:$A$18,0))=1,SUMIF($P$8:P24,P25,$AD$8:AD24)+SUMIF($N$8:N24,P25,$Z$8:Z24)+IF(N25=P25,Z25,0),0),AC25)))</f>
        <v/>
      </c>
      <c r="AE25" s="8">
        <f>IF(P25="",0,MAX(0,MIN(INDEX(Houses!$F$2:$F$18,MATCH(P25,Houses!$A$2:$A$18,0))-IF(INDEX(Houses!$H$2:$H$18,MATCH(P25,Houses!$A$2:$A$18,0))=1,SUMIF($P$8:P24,P25,$AE$8:AE24)+SUMIF($N$8:N24,P25,$AA$8:AA24)+IF(N25=P25,AA25,0),0),INT((AC25-AD25)/2))))</f>
        <v/>
      </c>
      <c r="AF25" s="8">
        <f>IF(P25="",0,MAX(0,INDEX(Houses!$G$2:$G$18,MATCH(P25,Houses!$A$2:$A$18,0))-IF(INDEX(Houses!$H$2:$H$18,MATCH(P25,Houses!$A$2:$A$18,0))=1,SUMIF($P$8:P24,P25,$AF$8:AF24)+SUMIF($N$8:N24,P25,$AB$8:AB24)+IF(N25=P25,AB25,0),0)))</f>
        <v/>
      </c>
      <c r="AG25" s="9">
        <f>AG24+H25*Params!$B$24*F25-I25*Params!$B$25-J25*Params!$B$27</f>
        <v/>
      </c>
      <c r="AH25" s="9">
        <f>AH24+I25*Params!$B$25*Params!$B$26-K25*Params!$B$31-L25*Params!$B$33-M25*Params!$B$36+AA25+AE25</f>
        <v/>
      </c>
      <c r="AI25" s="9">
        <f>AI24+J25*Params!$B$27*Params!$B$28-X25*Params!$B$43*24</f>
        <v/>
      </c>
      <c r="AJ25" s="9">
        <f>AJ24-E25*Params!$B$22+Z25+AD25</f>
        <v/>
      </c>
      <c r="AK25" s="8">
        <f>AK24+AB25+AF25</f>
        <v/>
      </c>
      <c r="AL25" s="8">
        <f>MAX(0,AL24-M25)</f>
        <v/>
      </c>
      <c r="AM25" s="8">
        <f>MAX(0,AT24-K25)</f>
        <v/>
      </c>
      <c r="AN25" s="9">
        <f>AQ24+L25*Params!$B$35</f>
        <v/>
      </c>
      <c r="AO25" s="8">
        <f>IF(C25=0,0,INDEX(Nights!$B$2:$B$31,C25))</f>
        <v/>
      </c>
      <c r="AP25" s="9">
        <f>AO25*Params!$B$51*Params!$B$50</f>
        <v/>
      </c>
      <c r="AQ25" s="9">
        <f>MAX(0,AN25-AP25)</f>
        <v/>
      </c>
      <c r="AR25" s="8">
        <f>INT((AS24+MAX(0,AP25-AN25))/Params!$B$30)</f>
        <v/>
      </c>
      <c r="AS25" s="9">
        <f>(AS24+MAX(0,AP25-AN25))-AR25*Params!$B$30</f>
        <v/>
      </c>
      <c r="AT25" s="8">
        <f>AM25+AR25</f>
        <v/>
      </c>
      <c r="AU25" s="8">
        <f>IF(AND(AO25&gt;0,OR(AM25+AL25&gt;0,AR25&gt;0)),"BREACH","")</f>
        <v/>
      </c>
      <c r="AV25" s="13">
        <f>Params!$B$40+IF(AI25&lt;0,0,X25)*Params!$B$41-(AM25+AL25)*Params!$B$42</f>
        <v/>
      </c>
      <c r="AW25" s="9">
        <f>MAX(0,MIN(100,AW24-IF(AV25&lt;Params!$B$44,(Params!$B$44-AV25)*Params!$B$45,0)-IF(AJ25&lt;0,Params!$B$54,0)-IF(AU25="BREACH",Params!$B$53,0)-IF(T25="DARK",Params!$B$55,0)))</f>
        <v/>
      </c>
      <c r="AX25" s="8">
        <f>IF(AW25&lt;=0,"DEAD",TRIM(IF(V25&lt;0,"OVERWORK ","")&amp;IF(W25&lt;0,"NO-DAYLIGHT ","")&amp;IF(AG25&lt;0,"NO-LOGS ","")&amp;IF(AH25&lt;0,"NO-BOARDS ","")&amp;IF(AI25&lt;0,"NO-FUEL ","")&amp;IF(AJ25&lt;0,"HUNGER ","")&amp;AU25&amp;" "&amp;IF(T25="DARK","DARK-TRIP ","")&amp;IF(AV25&lt;Params!$B$44,"COLD","")))</f>
        <v/>
      </c>
    </row>
    <row r="26">
      <c r="A26" s="7" t="n">
        <v>18</v>
      </c>
      <c r="B26" s="8">
        <f>IF(A26&lt;=Params!$B$5,"prep","night")</f>
        <v/>
      </c>
      <c r="C26" s="8">
        <f>MAX(0,A26-Params!$B$5)</f>
        <v/>
      </c>
      <c r="D26" s="9">
        <f>IF(A26&lt;=Params!$B$5,ROUND(Params!$B$7-(Params!$B$7-Params!$B$8)*(A26-1)/(Params!$B$5-1),1),0)</f>
        <v/>
      </c>
      <c r="E26" s="8">
        <f>COUNTIFS(People!$F$2:$F$7,"&lt;="&amp;A26,People!$F$2:$F$7,"&gt;0")</f>
        <v/>
      </c>
      <c r="F26" s="10">
        <f>IF(E26=0,1,SUMIFS(People!$C$2:$C$7,People!$F$2:$F$7,"&lt;="&amp;A26,People!$F$2:$F$7,"&gt;0")/E26)</f>
        <v/>
      </c>
      <c r="G26" s="9">
        <f>E26*Params!$B$9</f>
        <v/>
      </c>
      <c r="H26" s="11" t="n">
        <v>0</v>
      </c>
      <c r="I26" s="11" t="n">
        <v>1</v>
      </c>
      <c r="J26" s="11" t="n">
        <v>1</v>
      </c>
      <c r="K26" s="12" t="n">
        <v>0</v>
      </c>
      <c r="L26" s="12" t="n">
        <v>1</v>
      </c>
      <c r="M26" s="12" t="n">
        <v>0</v>
      </c>
      <c r="N26" s="12" t="n"/>
      <c r="O26" s="12" t="n"/>
      <c r="P26" s="12" t="n"/>
      <c r="Q26" s="12" t="n"/>
      <c r="R26" s="9">
        <f>IF(N26="",0,(2*INDEX(Houses!$D$2:$D$18,MATCH(N26,Houses!$A$2:$A$18,0))+Params!$B$57)/IF(O26="",1,INDEX(People!$D$2:$D$7,MATCH(O26,People!$A$2:$A$7,0))))</f>
        <v/>
      </c>
      <c r="S26" s="9">
        <f>IF(P26="",0,(2*INDEX(Houses!$D$2:$D$18,MATCH(P26,Houses!$A$2:$A$18,0))+Params!$B$57)/IF(Q26="",1,INDEX(People!$D$2:$D$7,MATCH(Q26,People!$A$2:$A$7,0))))</f>
        <v/>
      </c>
      <c r="T26" s="8">
        <f>IF(AND(N26="",P26=""),"",IF(MAX(R26,S26)&lt;=D26,"ok","DARK"))</f>
        <v/>
      </c>
      <c r="U26" s="9">
        <f>H26+I26+J26+K26*Params!$B$32+L26*Params!$B$34+M26*Params!$B$37+R26+S26</f>
        <v/>
      </c>
      <c r="V26" s="9">
        <f>G26-U26</f>
        <v/>
      </c>
      <c r="W26" s="9">
        <f>D26*E26-(H26+R26+S26)</f>
        <v/>
      </c>
      <c r="X26" s="12" t="n">
        <v>1</v>
      </c>
      <c r="Y26" s="8">
        <f>IF(N26="",0,IF(O26="",8,INDEX(People!$E$2:$E$7,MATCH(O26,People!$A$2:$A$7,0))))</f>
        <v/>
      </c>
      <c r="Z26" s="8">
        <f>IF(N26="",0,MAX(0,MIN(INDEX(Houses!$E$2:$E$18,MATCH(N26,Houses!$A$2:$A$18,0))-IF(INDEX(Houses!$H$2:$H$18,MATCH(N26,Houses!$A$2:$A$18,0))=1,SUMIF($N$8:N25,N26,$Z$8:Z25)+SUMIF($P$8:P25,N26,$AD$8:AD25),0),Y26)))</f>
        <v/>
      </c>
      <c r="AA26" s="8">
        <f>IF(N26="",0,MAX(0,MIN(INDEX(Houses!$F$2:$F$18,MATCH(N26,Houses!$A$2:$A$18,0))-IF(INDEX(Houses!$H$2:$H$18,MATCH(N26,Houses!$A$2:$A$18,0))=1,SUMIF($N$8:N25,N26,$AA$8:AA25)+SUMIF($P$8:P25,N26,$AE$8:AE25),0),INT((Y26-Z26)/2))))</f>
        <v/>
      </c>
      <c r="AB26" s="8">
        <f>IF(N26="",0,MAX(0,INDEX(Houses!$G$2:$G$18,MATCH(N26,Houses!$A$2:$A$18,0))-IF(INDEX(Houses!$H$2:$H$18,MATCH(N26,Houses!$A$2:$A$18,0))=1,SUMIF($N$8:N25,N26,$AB$8:AB25)+SUMIF($P$8:P25,N26,$AF$8:AF25),0)))</f>
        <v/>
      </c>
      <c r="AC26" s="8">
        <f>IF(P26="",0,IF(Q26="",8,INDEX(People!$E$2:$E$7,MATCH(Q26,People!$A$2:$A$7,0))))</f>
        <v/>
      </c>
      <c r="AD26" s="8">
        <f>IF(P26="",0,MAX(0,MIN(INDEX(Houses!$E$2:$E$18,MATCH(P26,Houses!$A$2:$A$18,0))-IF(INDEX(Houses!$H$2:$H$18,MATCH(P26,Houses!$A$2:$A$18,0))=1,SUMIF($P$8:P25,P26,$AD$8:AD25)+SUMIF($N$8:N25,P26,$Z$8:Z25)+IF(N26=P26,Z26,0),0),AC26)))</f>
        <v/>
      </c>
      <c r="AE26" s="8">
        <f>IF(P26="",0,MAX(0,MIN(INDEX(Houses!$F$2:$F$18,MATCH(P26,Houses!$A$2:$A$18,0))-IF(INDEX(Houses!$H$2:$H$18,MATCH(P26,Houses!$A$2:$A$18,0))=1,SUMIF($P$8:P25,P26,$AE$8:AE25)+SUMIF($N$8:N25,P26,$AA$8:AA25)+IF(N26=P26,AA26,0),0),INT((AC26-AD26)/2))))</f>
        <v/>
      </c>
      <c r="AF26" s="8">
        <f>IF(P26="",0,MAX(0,INDEX(Houses!$G$2:$G$18,MATCH(P26,Houses!$A$2:$A$18,0))-IF(INDEX(Houses!$H$2:$H$18,MATCH(P26,Houses!$A$2:$A$18,0))=1,SUMIF($P$8:P25,P26,$AF$8:AF25)+SUMIF($N$8:N25,P26,$AB$8:AB25)+IF(N26=P26,AB26,0),0)))</f>
        <v/>
      </c>
      <c r="AG26" s="9">
        <f>AG25+H26*Params!$B$24*F26-I26*Params!$B$25-J26*Params!$B$27</f>
        <v/>
      </c>
      <c r="AH26" s="9">
        <f>AH25+I26*Params!$B$25*Params!$B$26-K26*Params!$B$31-L26*Params!$B$33-M26*Params!$B$36+AA26+AE26</f>
        <v/>
      </c>
      <c r="AI26" s="9">
        <f>AI25+J26*Params!$B$27*Params!$B$28-X26*Params!$B$43*24</f>
        <v/>
      </c>
      <c r="AJ26" s="9">
        <f>AJ25-E26*Params!$B$22+Z26+AD26</f>
        <v/>
      </c>
      <c r="AK26" s="8">
        <f>AK25+AB26+AF26</f>
        <v/>
      </c>
      <c r="AL26" s="8">
        <f>MAX(0,AL25-M26)</f>
        <v/>
      </c>
      <c r="AM26" s="8">
        <f>MAX(0,AT25-K26)</f>
        <v/>
      </c>
      <c r="AN26" s="9">
        <f>AQ25+L26*Params!$B$35</f>
        <v/>
      </c>
      <c r="AO26" s="8">
        <f>IF(C26=0,0,INDEX(Nights!$B$2:$B$31,C26))</f>
        <v/>
      </c>
      <c r="AP26" s="9">
        <f>AO26*Params!$B$51*Params!$B$50</f>
        <v/>
      </c>
      <c r="AQ26" s="9">
        <f>MAX(0,AN26-AP26)</f>
        <v/>
      </c>
      <c r="AR26" s="8">
        <f>INT((AS25+MAX(0,AP26-AN26))/Params!$B$30)</f>
        <v/>
      </c>
      <c r="AS26" s="9">
        <f>(AS25+MAX(0,AP26-AN26))-AR26*Params!$B$30</f>
        <v/>
      </c>
      <c r="AT26" s="8">
        <f>AM26+AR26</f>
        <v/>
      </c>
      <c r="AU26" s="8">
        <f>IF(AND(AO26&gt;0,OR(AM26+AL26&gt;0,AR26&gt;0)),"BREACH","")</f>
        <v/>
      </c>
      <c r="AV26" s="13">
        <f>Params!$B$40+IF(AI26&lt;0,0,X26)*Params!$B$41-(AM26+AL26)*Params!$B$42</f>
        <v/>
      </c>
      <c r="AW26" s="9">
        <f>MAX(0,MIN(100,AW25-IF(AV26&lt;Params!$B$44,(Params!$B$44-AV26)*Params!$B$45,0)-IF(AJ26&lt;0,Params!$B$54,0)-IF(AU26="BREACH",Params!$B$53,0)-IF(T26="DARK",Params!$B$55,0)))</f>
        <v/>
      </c>
      <c r="AX26" s="8">
        <f>IF(AW26&lt;=0,"DEAD",TRIM(IF(V26&lt;0,"OVERWORK ","")&amp;IF(W26&lt;0,"NO-DAYLIGHT ","")&amp;IF(AG26&lt;0,"NO-LOGS ","")&amp;IF(AH26&lt;0,"NO-BOARDS ","")&amp;IF(AI26&lt;0,"NO-FUEL ","")&amp;IF(AJ26&lt;0,"HUNGER ","")&amp;AU26&amp;" "&amp;IF(T26="DARK","DARK-TRIP ","")&amp;IF(AV26&lt;Params!$B$44,"COLD","")))</f>
        <v/>
      </c>
    </row>
    <row r="27">
      <c r="A27" s="7" t="n">
        <v>19</v>
      </c>
      <c r="B27" s="8">
        <f>IF(A27&lt;=Params!$B$5,"prep","night")</f>
        <v/>
      </c>
      <c r="C27" s="8">
        <f>MAX(0,A27-Params!$B$5)</f>
        <v/>
      </c>
      <c r="D27" s="9">
        <f>IF(A27&lt;=Params!$B$5,ROUND(Params!$B$7-(Params!$B$7-Params!$B$8)*(A27-1)/(Params!$B$5-1),1),0)</f>
        <v/>
      </c>
      <c r="E27" s="8">
        <f>COUNTIFS(People!$F$2:$F$7,"&lt;="&amp;A27,People!$F$2:$F$7,"&gt;0")</f>
        <v/>
      </c>
      <c r="F27" s="10">
        <f>IF(E27=0,1,SUMIFS(People!$C$2:$C$7,People!$F$2:$F$7,"&lt;="&amp;A27,People!$F$2:$F$7,"&gt;0")/E27)</f>
        <v/>
      </c>
      <c r="G27" s="9">
        <f>E27*Params!$B$9</f>
        <v/>
      </c>
      <c r="H27" s="11" t="n">
        <v>0</v>
      </c>
      <c r="I27" s="11" t="n">
        <v>0</v>
      </c>
      <c r="J27" s="11" t="n">
        <v>1</v>
      </c>
      <c r="K27" s="12" t="n">
        <v>0</v>
      </c>
      <c r="L27" s="12" t="n">
        <v>0</v>
      </c>
      <c r="M27" s="12" t="n">
        <v>0</v>
      </c>
      <c r="N27" s="12" t="n"/>
      <c r="O27" s="12" t="n"/>
      <c r="P27" s="12" t="n"/>
      <c r="Q27" s="12" t="n"/>
      <c r="R27" s="9">
        <f>IF(N27="",0,(2*INDEX(Houses!$D$2:$D$18,MATCH(N27,Houses!$A$2:$A$18,0))+Params!$B$57)/IF(O27="",1,INDEX(People!$D$2:$D$7,MATCH(O27,People!$A$2:$A$7,0))))</f>
        <v/>
      </c>
      <c r="S27" s="9">
        <f>IF(P27="",0,(2*INDEX(Houses!$D$2:$D$18,MATCH(P27,Houses!$A$2:$A$18,0))+Params!$B$57)/IF(Q27="",1,INDEX(People!$D$2:$D$7,MATCH(Q27,People!$A$2:$A$7,0))))</f>
        <v/>
      </c>
      <c r="T27" s="8">
        <f>IF(AND(N27="",P27=""),"",IF(MAX(R27,S27)&lt;=D27,"ok","DARK"))</f>
        <v/>
      </c>
      <c r="U27" s="9">
        <f>H27+I27+J27+K27*Params!$B$32+L27*Params!$B$34+M27*Params!$B$37+R27+S27</f>
        <v/>
      </c>
      <c r="V27" s="9">
        <f>G27-U27</f>
        <v/>
      </c>
      <c r="W27" s="9">
        <f>D27*E27-(H27+R27+S27)</f>
        <v/>
      </c>
      <c r="X27" s="12" t="n">
        <v>1</v>
      </c>
      <c r="Y27" s="8">
        <f>IF(N27="",0,IF(O27="",8,INDEX(People!$E$2:$E$7,MATCH(O27,People!$A$2:$A$7,0))))</f>
        <v/>
      </c>
      <c r="Z27" s="8">
        <f>IF(N27="",0,MAX(0,MIN(INDEX(Houses!$E$2:$E$18,MATCH(N27,Houses!$A$2:$A$18,0))-IF(INDEX(Houses!$H$2:$H$18,MATCH(N27,Houses!$A$2:$A$18,0))=1,SUMIF($N$8:N26,N27,$Z$8:Z26)+SUMIF($P$8:P26,N27,$AD$8:AD26),0),Y27)))</f>
        <v/>
      </c>
      <c r="AA27" s="8">
        <f>IF(N27="",0,MAX(0,MIN(INDEX(Houses!$F$2:$F$18,MATCH(N27,Houses!$A$2:$A$18,0))-IF(INDEX(Houses!$H$2:$H$18,MATCH(N27,Houses!$A$2:$A$18,0))=1,SUMIF($N$8:N26,N27,$AA$8:AA26)+SUMIF($P$8:P26,N27,$AE$8:AE26),0),INT((Y27-Z27)/2))))</f>
        <v/>
      </c>
      <c r="AB27" s="8">
        <f>IF(N27="",0,MAX(0,INDEX(Houses!$G$2:$G$18,MATCH(N27,Houses!$A$2:$A$18,0))-IF(INDEX(Houses!$H$2:$H$18,MATCH(N27,Houses!$A$2:$A$18,0))=1,SUMIF($N$8:N26,N27,$AB$8:AB26)+SUMIF($P$8:P26,N27,$AF$8:AF26),0)))</f>
        <v/>
      </c>
      <c r="AC27" s="8">
        <f>IF(P27="",0,IF(Q27="",8,INDEX(People!$E$2:$E$7,MATCH(Q27,People!$A$2:$A$7,0))))</f>
        <v/>
      </c>
      <c r="AD27" s="8">
        <f>IF(P27="",0,MAX(0,MIN(INDEX(Houses!$E$2:$E$18,MATCH(P27,Houses!$A$2:$A$18,0))-IF(INDEX(Houses!$H$2:$H$18,MATCH(P27,Houses!$A$2:$A$18,0))=1,SUMIF($P$8:P26,P27,$AD$8:AD26)+SUMIF($N$8:N26,P27,$Z$8:Z26)+IF(N27=P27,Z27,0),0),AC27)))</f>
        <v/>
      </c>
      <c r="AE27" s="8">
        <f>IF(P27="",0,MAX(0,MIN(INDEX(Houses!$F$2:$F$18,MATCH(P27,Houses!$A$2:$A$18,0))-IF(INDEX(Houses!$H$2:$H$18,MATCH(P27,Houses!$A$2:$A$18,0))=1,SUMIF($P$8:P26,P27,$AE$8:AE26)+SUMIF($N$8:N26,P27,$AA$8:AA26)+IF(N27=P27,AA27,0),0),INT((AC27-AD27)/2))))</f>
        <v/>
      </c>
      <c r="AF27" s="8">
        <f>IF(P27="",0,MAX(0,INDEX(Houses!$G$2:$G$18,MATCH(P27,Houses!$A$2:$A$18,0))-IF(INDEX(Houses!$H$2:$H$18,MATCH(P27,Houses!$A$2:$A$18,0))=1,SUMIF($P$8:P26,P27,$AF$8:AF26)+SUMIF($N$8:N26,P27,$AB$8:AB26)+IF(N27=P27,AB27,0),0)))</f>
        <v/>
      </c>
      <c r="AG27" s="9">
        <f>AG26+H27*Params!$B$24*F27-I27*Params!$B$25-J27*Params!$B$27</f>
        <v/>
      </c>
      <c r="AH27" s="9">
        <f>AH26+I27*Params!$B$25*Params!$B$26-K27*Params!$B$31-L27*Params!$B$33-M27*Params!$B$36+AA27+AE27</f>
        <v/>
      </c>
      <c r="AI27" s="9">
        <f>AI26+J27*Params!$B$27*Params!$B$28-X27*Params!$B$43*24</f>
        <v/>
      </c>
      <c r="AJ27" s="9">
        <f>AJ26-E27*Params!$B$22+Z27+AD27</f>
        <v/>
      </c>
      <c r="AK27" s="8">
        <f>AK26+AB27+AF27</f>
        <v/>
      </c>
      <c r="AL27" s="8">
        <f>MAX(0,AL26-M27)</f>
        <v/>
      </c>
      <c r="AM27" s="8">
        <f>MAX(0,AT26-K27)</f>
        <v/>
      </c>
      <c r="AN27" s="9">
        <f>AQ26+L27*Params!$B$35</f>
        <v/>
      </c>
      <c r="AO27" s="8">
        <f>IF(C27=0,0,INDEX(Nights!$B$2:$B$31,C27))</f>
        <v/>
      </c>
      <c r="AP27" s="9">
        <f>AO27*Params!$B$51*Params!$B$50</f>
        <v/>
      </c>
      <c r="AQ27" s="9">
        <f>MAX(0,AN27-AP27)</f>
        <v/>
      </c>
      <c r="AR27" s="8">
        <f>INT((AS26+MAX(0,AP27-AN27))/Params!$B$30)</f>
        <v/>
      </c>
      <c r="AS27" s="9">
        <f>(AS26+MAX(0,AP27-AN27))-AR27*Params!$B$30</f>
        <v/>
      </c>
      <c r="AT27" s="8">
        <f>AM27+AR27</f>
        <v/>
      </c>
      <c r="AU27" s="8">
        <f>IF(AND(AO27&gt;0,OR(AM27+AL27&gt;0,AR27&gt;0)),"BREACH","")</f>
        <v/>
      </c>
      <c r="AV27" s="13">
        <f>Params!$B$40+IF(AI27&lt;0,0,X27)*Params!$B$41-(AM27+AL27)*Params!$B$42</f>
        <v/>
      </c>
      <c r="AW27" s="9">
        <f>MAX(0,MIN(100,AW26-IF(AV27&lt;Params!$B$44,(Params!$B$44-AV27)*Params!$B$45,0)-IF(AJ27&lt;0,Params!$B$54,0)-IF(AU27="BREACH",Params!$B$53,0)-IF(T27="DARK",Params!$B$55,0)))</f>
        <v/>
      </c>
      <c r="AX27" s="8">
        <f>IF(AW27&lt;=0,"DEAD",TRIM(IF(V27&lt;0,"OVERWORK ","")&amp;IF(W27&lt;0,"NO-DAYLIGHT ","")&amp;IF(AG27&lt;0,"NO-LOGS ","")&amp;IF(AH27&lt;0,"NO-BOARDS ","")&amp;IF(AI27&lt;0,"NO-FUEL ","")&amp;IF(AJ27&lt;0,"HUNGER ","")&amp;AU27&amp;" "&amp;IF(T27="DARK","DARK-TRIP ","")&amp;IF(AV27&lt;Params!$B$44,"COLD","")))</f>
        <v/>
      </c>
    </row>
    <row r="28">
      <c r="A28" s="7" t="n">
        <v>20</v>
      </c>
      <c r="B28" s="8">
        <f>IF(A28&lt;=Params!$B$5,"prep","night")</f>
        <v/>
      </c>
      <c r="C28" s="8">
        <f>MAX(0,A28-Params!$B$5)</f>
        <v/>
      </c>
      <c r="D28" s="9">
        <f>IF(A28&lt;=Params!$B$5,ROUND(Params!$B$7-(Params!$B$7-Params!$B$8)*(A28-1)/(Params!$B$5-1),1),0)</f>
        <v/>
      </c>
      <c r="E28" s="8">
        <f>COUNTIFS(People!$F$2:$F$7,"&lt;="&amp;A28,People!$F$2:$F$7,"&gt;0")</f>
        <v/>
      </c>
      <c r="F28" s="10">
        <f>IF(E28=0,1,SUMIFS(People!$C$2:$C$7,People!$F$2:$F$7,"&lt;="&amp;A28,People!$F$2:$F$7,"&gt;0")/E28)</f>
        <v/>
      </c>
      <c r="G28" s="9">
        <f>E28*Params!$B$9</f>
        <v/>
      </c>
      <c r="H28" s="11" t="n">
        <v>0</v>
      </c>
      <c r="I28" s="11" t="n">
        <v>6</v>
      </c>
      <c r="J28" s="11" t="n">
        <v>2</v>
      </c>
      <c r="K28" s="12" t="n">
        <v>0</v>
      </c>
      <c r="L28" s="12" t="n">
        <v>4</v>
      </c>
      <c r="M28" s="12" t="n">
        <v>0</v>
      </c>
      <c r="N28" s="12" t="n"/>
      <c r="O28" s="12" t="n"/>
      <c r="P28" s="12" t="n"/>
      <c r="Q28" s="12" t="n"/>
      <c r="R28" s="9">
        <f>IF(N28="",0,(2*INDEX(Houses!$D$2:$D$18,MATCH(N28,Houses!$A$2:$A$18,0))+Params!$B$57)/IF(O28="",1,INDEX(People!$D$2:$D$7,MATCH(O28,People!$A$2:$A$7,0))))</f>
        <v/>
      </c>
      <c r="S28" s="9">
        <f>IF(P28="",0,(2*INDEX(Houses!$D$2:$D$18,MATCH(P28,Houses!$A$2:$A$18,0))+Params!$B$57)/IF(Q28="",1,INDEX(People!$D$2:$D$7,MATCH(Q28,People!$A$2:$A$7,0))))</f>
        <v/>
      </c>
      <c r="T28" s="8">
        <f>IF(AND(N28="",P28=""),"",IF(MAX(R28,S28)&lt;=D28,"ok","DARK"))</f>
        <v/>
      </c>
      <c r="U28" s="9">
        <f>H28+I28+J28+K28*Params!$B$32+L28*Params!$B$34+M28*Params!$B$37+R28+S28</f>
        <v/>
      </c>
      <c r="V28" s="9">
        <f>G28-U28</f>
        <v/>
      </c>
      <c r="W28" s="9">
        <f>D28*E28-(H28+R28+S28)</f>
        <v/>
      </c>
      <c r="X28" s="12" t="n">
        <v>1</v>
      </c>
      <c r="Y28" s="8">
        <f>IF(N28="",0,IF(O28="",8,INDEX(People!$E$2:$E$7,MATCH(O28,People!$A$2:$A$7,0))))</f>
        <v/>
      </c>
      <c r="Z28" s="8">
        <f>IF(N28="",0,MAX(0,MIN(INDEX(Houses!$E$2:$E$18,MATCH(N28,Houses!$A$2:$A$18,0))-IF(INDEX(Houses!$H$2:$H$18,MATCH(N28,Houses!$A$2:$A$18,0))=1,SUMIF($N$8:N27,N28,$Z$8:Z27)+SUMIF($P$8:P27,N28,$AD$8:AD27),0),Y28)))</f>
        <v/>
      </c>
      <c r="AA28" s="8">
        <f>IF(N28="",0,MAX(0,MIN(INDEX(Houses!$F$2:$F$18,MATCH(N28,Houses!$A$2:$A$18,0))-IF(INDEX(Houses!$H$2:$H$18,MATCH(N28,Houses!$A$2:$A$18,0))=1,SUMIF($N$8:N27,N28,$AA$8:AA27)+SUMIF($P$8:P27,N28,$AE$8:AE27),0),INT((Y28-Z28)/2))))</f>
        <v/>
      </c>
      <c r="AB28" s="8">
        <f>IF(N28="",0,MAX(0,INDEX(Houses!$G$2:$G$18,MATCH(N28,Houses!$A$2:$A$18,0))-IF(INDEX(Houses!$H$2:$H$18,MATCH(N28,Houses!$A$2:$A$18,0))=1,SUMIF($N$8:N27,N28,$AB$8:AB27)+SUMIF($P$8:P27,N28,$AF$8:AF27),0)))</f>
        <v/>
      </c>
      <c r="AC28" s="8">
        <f>IF(P28="",0,IF(Q28="",8,INDEX(People!$E$2:$E$7,MATCH(Q28,People!$A$2:$A$7,0))))</f>
        <v/>
      </c>
      <c r="AD28" s="8">
        <f>IF(P28="",0,MAX(0,MIN(INDEX(Houses!$E$2:$E$18,MATCH(P28,Houses!$A$2:$A$18,0))-IF(INDEX(Houses!$H$2:$H$18,MATCH(P28,Houses!$A$2:$A$18,0))=1,SUMIF($P$8:P27,P28,$AD$8:AD27)+SUMIF($N$8:N27,P28,$Z$8:Z27)+IF(N28=P28,Z28,0),0),AC28)))</f>
        <v/>
      </c>
      <c r="AE28" s="8">
        <f>IF(P28="",0,MAX(0,MIN(INDEX(Houses!$F$2:$F$18,MATCH(P28,Houses!$A$2:$A$18,0))-IF(INDEX(Houses!$H$2:$H$18,MATCH(P28,Houses!$A$2:$A$18,0))=1,SUMIF($P$8:P27,P28,$AE$8:AE27)+SUMIF($N$8:N27,P28,$AA$8:AA27)+IF(N28=P28,AA28,0),0),INT((AC28-AD28)/2))))</f>
        <v/>
      </c>
      <c r="AF28" s="8">
        <f>IF(P28="",0,MAX(0,INDEX(Houses!$G$2:$G$18,MATCH(P28,Houses!$A$2:$A$18,0))-IF(INDEX(Houses!$H$2:$H$18,MATCH(P28,Houses!$A$2:$A$18,0))=1,SUMIF($P$8:P27,P28,$AF$8:AF27)+SUMIF($N$8:N27,P28,$AB$8:AB27)+IF(N28=P28,AB28,0),0)))</f>
        <v/>
      </c>
      <c r="AG28" s="9">
        <f>AG27+H28*Params!$B$24*F28-I28*Params!$B$25-J28*Params!$B$27</f>
        <v/>
      </c>
      <c r="AH28" s="9">
        <f>AH27+I28*Params!$B$25*Params!$B$26-K28*Params!$B$31-L28*Params!$B$33-M28*Params!$B$36+AA28+AE28</f>
        <v/>
      </c>
      <c r="AI28" s="9">
        <f>AI27+J28*Params!$B$27*Params!$B$28-X28*Params!$B$43*24</f>
        <v/>
      </c>
      <c r="AJ28" s="9">
        <f>AJ27-E28*Params!$B$22+Z28+AD28</f>
        <v/>
      </c>
      <c r="AK28" s="8">
        <f>AK27+AB28+AF28</f>
        <v/>
      </c>
      <c r="AL28" s="8">
        <f>MAX(0,AL27-M28)</f>
        <v/>
      </c>
      <c r="AM28" s="8">
        <f>MAX(0,AT27-K28)</f>
        <v/>
      </c>
      <c r="AN28" s="9">
        <f>AQ27+L28*Params!$B$35</f>
        <v/>
      </c>
      <c r="AO28" s="8">
        <f>IF(C28=0,0,INDEX(Nights!$B$2:$B$31,C28))</f>
        <v/>
      </c>
      <c r="AP28" s="9">
        <f>AO28*Params!$B$51*Params!$B$50</f>
        <v/>
      </c>
      <c r="AQ28" s="9">
        <f>MAX(0,AN28-AP28)</f>
        <v/>
      </c>
      <c r="AR28" s="8">
        <f>INT((AS27+MAX(0,AP28-AN28))/Params!$B$30)</f>
        <v/>
      </c>
      <c r="AS28" s="9">
        <f>(AS27+MAX(0,AP28-AN28))-AR28*Params!$B$30</f>
        <v/>
      </c>
      <c r="AT28" s="8">
        <f>AM28+AR28</f>
        <v/>
      </c>
      <c r="AU28" s="8">
        <f>IF(AND(AO28&gt;0,OR(AM28+AL28&gt;0,AR28&gt;0)),"BREACH","")</f>
        <v/>
      </c>
      <c r="AV28" s="13">
        <f>Params!$B$40+IF(AI28&lt;0,0,X28)*Params!$B$41-(AM28+AL28)*Params!$B$42</f>
        <v/>
      </c>
      <c r="AW28" s="9">
        <f>MAX(0,MIN(100,AW27-IF(AV28&lt;Params!$B$44,(Params!$B$44-AV28)*Params!$B$45,0)-IF(AJ28&lt;0,Params!$B$54,0)-IF(AU28="BREACH",Params!$B$53,0)-IF(T28="DARK",Params!$B$55,0)))</f>
        <v/>
      </c>
      <c r="AX28" s="8">
        <f>IF(AW28&lt;=0,"DEAD",TRIM(IF(V28&lt;0,"OVERWORK ","")&amp;IF(W28&lt;0,"NO-DAYLIGHT ","")&amp;IF(AG28&lt;0,"NO-LOGS ","")&amp;IF(AH28&lt;0,"NO-BOARDS ","")&amp;IF(AI28&lt;0,"NO-FUEL ","")&amp;IF(AJ28&lt;0,"HUNGER ","")&amp;AU28&amp;" "&amp;IF(T28="DARK","DARK-TRIP ","")&amp;IF(AV28&lt;Params!$B$44,"COLD","")))</f>
        <v/>
      </c>
    </row>
    <row r="29">
      <c r="A29" s="7" t="n">
        <v>21</v>
      </c>
      <c r="B29" s="8">
        <f>IF(A29&lt;=Params!$B$5,"prep","night")</f>
        <v/>
      </c>
      <c r="C29" s="8">
        <f>MAX(0,A29-Params!$B$5)</f>
        <v/>
      </c>
      <c r="D29" s="9">
        <f>IF(A29&lt;=Params!$B$5,ROUND(Params!$B$7-(Params!$B$7-Params!$B$8)*(A29-1)/(Params!$B$5-1),1),0)</f>
        <v/>
      </c>
      <c r="E29" s="8">
        <f>COUNTIFS(People!$F$2:$F$7,"&lt;="&amp;A29,People!$F$2:$F$7,"&gt;0")</f>
        <v/>
      </c>
      <c r="F29" s="10">
        <f>IF(E29=0,1,SUMIFS(People!$C$2:$C$7,People!$F$2:$F$7,"&lt;="&amp;A29,People!$F$2:$F$7,"&gt;0")/E29)</f>
        <v/>
      </c>
      <c r="G29" s="9">
        <f>E29*Params!$B$9</f>
        <v/>
      </c>
      <c r="H29" s="11" t="n">
        <v>0</v>
      </c>
      <c r="I29" s="11" t="n">
        <v>0</v>
      </c>
      <c r="J29" s="11" t="n">
        <v>1</v>
      </c>
      <c r="K29" s="12" t="n">
        <v>0</v>
      </c>
      <c r="L29" s="12" t="n">
        <v>0</v>
      </c>
      <c r="M29" s="12" t="n">
        <v>0</v>
      </c>
      <c r="N29" s="12" t="n"/>
      <c r="O29" s="12" t="n"/>
      <c r="P29" s="12" t="n"/>
      <c r="Q29" s="12" t="n"/>
      <c r="R29" s="9">
        <f>IF(N29="",0,(2*INDEX(Houses!$D$2:$D$18,MATCH(N29,Houses!$A$2:$A$18,0))+Params!$B$57)/IF(O29="",1,INDEX(People!$D$2:$D$7,MATCH(O29,People!$A$2:$A$7,0))))</f>
        <v/>
      </c>
      <c r="S29" s="9">
        <f>IF(P29="",0,(2*INDEX(Houses!$D$2:$D$18,MATCH(P29,Houses!$A$2:$A$18,0))+Params!$B$57)/IF(Q29="",1,INDEX(People!$D$2:$D$7,MATCH(Q29,People!$A$2:$A$7,0))))</f>
        <v/>
      </c>
      <c r="T29" s="8">
        <f>IF(AND(N29="",P29=""),"",IF(MAX(R29,S29)&lt;=D29,"ok","DARK"))</f>
        <v/>
      </c>
      <c r="U29" s="9">
        <f>H29+I29+J29+K29*Params!$B$32+L29*Params!$B$34+M29*Params!$B$37+R29+S29</f>
        <v/>
      </c>
      <c r="V29" s="9">
        <f>G29-U29</f>
        <v/>
      </c>
      <c r="W29" s="9">
        <f>D29*E29-(H29+R29+S29)</f>
        <v/>
      </c>
      <c r="X29" s="12" t="n">
        <v>1</v>
      </c>
      <c r="Y29" s="8">
        <f>IF(N29="",0,IF(O29="",8,INDEX(People!$E$2:$E$7,MATCH(O29,People!$A$2:$A$7,0))))</f>
        <v/>
      </c>
      <c r="Z29" s="8">
        <f>IF(N29="",0,MAX(0,MIN(INDEX(Houses!$E$2:$E$18,MATCH(N29,Houses!$A$2:$A$18,0))-IF(INDEX(Houses!$H$2:$H$18,MATCH(N29,Houses!$A$2:$A$18,0))=1,SUMIF($N$8:N28,N29,$Z$8:Z28)+SUMIF($P$8:P28,N29,$AD$8:AD28),0),Y29)))</f>
        <v/>
      </c>
      <c r="AA29" s="8">
        <f>IF(N29="",0,MAX(0,MIN(INDEX(Houses!$F$2:$F$18,MATCH(N29,Houses!$A$2:$A$18,0))-IF(INDEX(Houses!$H$2:$H$18,MATCH(N29,Houses!$A$2:$A$18,0))=1,SUMIF($N$8:N28,N29,$AA$8:AA28)+SUMIF($P$8:P28,N29,$AE$8:AE28),0),INT((Y29-Z29)/2))))</f>
        <v/>
      </c>
      <c r="AB29" s="8">
        <f>IF(N29="",0,MAX(0,INDEX(Houses!$G$2:$G$18,MATCH(N29,Houses!$A$2:$A$18,0))-IF(INDEX(Houses!$H$2:$H$18,MATCH(N29,Houses!$A$2:$A$18,0))=1,SUMIF($N$8:N28,N29,$AB$8:AB28)+SUMIF($P$8:P28,N29,$AF$8:AF28),0)))</f>
        <v/>
      </c>
      <c r="AC29" s="8">
        <f>IF(P29="",0,IF(Q29="",8,INDEX(People!$E$2:$E$7,MATCH(Q29,People!$A$2:$A$7,0))))</f>
        <v/>
      </c>
      <c r="AD29" s="8">
        <f>IF(P29="",0,MAX(0,MIN(INDEX(Houses!$E$2:$E$18,MATCH(P29,Houses!$A$2:$A$18,0))-IF(INDEX(Houses!$H$2:$H$18,MATCH(P29,Houses!$A$2:$A$18,0))=1,SUMIF($P$8:P28,P29,$AD$8:AD28)+SUMIF($N$8:N28,P29,$Z$8:Z28)+IF(N29=P29,Z29,0),0),AC29)))</f>
        <v/>
      </c>
      <c r="AE29" s="8">
        <f>IF(P29="",0,MAX(0,MIN(INDEX(Houses!$F$2:$F$18,MATCH(P29,Houses!$A$2:$A$18,0))-IF(INDEX(Houses!$H$2:$H$18,MATCH(P29,Houses!$A$2:$A$18,0))=1,SUMIF($P$8:P28,P29,$AE$8:AE28)+SUMIF($N$8:N28,P29,$AA$8:AA28)+IF(N29=P29,AA29,0),0),INT((AC29-AD29)/2))))</f>
        <v/>
      </c>
      <c r="AF29" s="8">
        <f>IF(P29="",0,MAX(0,INDEX(Houses!$G$2:$G$18,MATCH(P29,Houses!$A$2:$A$18,0))-IF(INDEX(Houses!$H$2:$H$18,MATCH(P29,Houses!$A$2:$A$18,0))=1,SUMIF($P$8:P28,P29,$AF$8:AF28)+SUMIF($N$8:N28,P29,$AB$8:AB28)+IF(N29=P29,AB29,0),0)))</f>
        <v/>
      </c>
      <c r="AG29" s="9">
        <f>AG28+H29*Params!$B$24*F29-I29*Params!$B$25-J29*Params!$B$27</f>
        <v/>
      </c>
      <c r="AH29" s="9">
        <f>AH28+I29*Params!$B$25*Params!$B$26-K29*Params!$B$31-L29*Params!$B$33-M29*Params!$B$36+AA29+AE29</f>
        <v/>
      </c>
      <c r="AI29" s="9">
        <f>AI28+J29*Params!$B$27*Params!$B$28-X29*Params!$B$43*24</f>
        <v/>
      </c>
      <c r="AJ29" s="9">
        <f>AJ28-E29*Params!$B$22+Z29+AD29</f>
        <v/>
      </c>
      <c r="AK29" s="8">
        <f>AK28+AB29+AF29</f>
        <v/>
      </c>
      <c r="AL29" s="8">
        <f>MAX(0,AL28-M29)</f>
        <v/>
      </c>
      <c r="AM29" s="8">
        <f>MAX(0,AT28-K29)</f>
        <v/>
      </c>
      <c r="AN29" s="9">
        <f>AQ28+L29*Params!$B$35</f>
        <v/>
      </c>
      <c r="AO29" s="8">
        <f>IF(C29=0,0,INDEX(Nights!$B$2:$B$31,C29))</f>
        <v/>
      </c>
      <c r="AP29" s="9">
        <f>AO29*Params!$B$51*Params!$B$50</f>
        <v/>
      </c>
      <c r="AQ29" s="9">
        <f>MAX(0,AN29-AP29)</f>
        <v/>
      </c>
      <c r="AR29" s="8">
        <f>INT((AS28+MAX(0,AP29-AN29))/Params!$B$30)</f>
        <v/>
      </c>
      <c r="AS29" s="9">
        <f>(AS28+MAX(0,AP29-AN29))-AR29*Params!$B$30</f>
        <v/>
      </c>
      <c r="AT29" s="8">
        <f>AM29+AR29</f>
        <v/>
      </c>
      <c r="AU29" s="8">
        <f>IF(AND(AO29&gt;0,OR(AM29+AL29&gt;0,AR29&gt;0)),"BREACH","")</f>
        <v/>
      </c>
      <c r="AV29" s="13">
        <f>Params!$B$40+IF(AI29&lt;0,0,X29)*Params!$B$41-(AM29+AL29)*Params!$B$42</f>
        <v/>
      </c>
      <c r="AW29" s="9">
        <f>MAX(0,MIN(100,AW28-IF(AV29&lt;Params!$B$44,(Params!$B$44-AV29)*Params!$B$45,0)-IF(AJ29&lt;0,Params!$B$54,0)-IF(AU29="BREACH",Params!$B$53,0)-IF(T29="DARK",Params!$B$55,0)))</f>
        <v/>
      </c>
      <c r="AX29" s="8">
        <f>IF(AW29&lt;=0,"DEAD",TRIM(IF(V29&lt;0,"OVERWORK ","")&amp;IF(W29&lt;0,"NO-DAYLIGHT ","")&amp;IF(AG29&lt;0,"NO-LOGS ","")&amp;IF(AH29&lt;0,"NO-BOARDS ","")&amp;IF(AI29&lt;0,"NO-FUEL ","")&amp;IF(AJ29&lt;0,"HUNGER ","")&amp;AU29&amp;" "&amp;IF(T29="DARK","DARK-TRIP ","")&amp;IF(AV29&lt;Params!$B$44,"COLD","")))</f>
        <v/>
      </c>
    </row>
    <row r="30">
      <c r="A30" s="7" t="n">
        <v>22</v>
      </c>
      <c r="B30" s="8">
        <f>IF(A30&lt;=Params!$B$5,"prep","night")</f>
        <v/>
      </c>
      <c r="C30" s="8">
        <f>MAX(0,A30-Params!$B$5)</f>
        <v/>
      </c>
      <c r="D30" s="9">
        <f>IF(A30&lt;=Params!$B$5,ROUND(Params!$B$7-(Params!$B$7-Params!$B$8)*(A30-1)/(Params!$B$5-1),1),0)</f>
        <v/>
      </c>
      <c r="E30" s="8">
        <f>COUNTIFS(People!$F$2:$F$7,"&lt;="&amp;A30,People!$F$2:$F$7,"&gt;0")</f>
        <v/>
      </c>
      <c r="F30" s="10">
        <f>IF(E30=0,1,SUMIFS(People!$C$2:$C$7,People!$F$2:$F$7,"&lt;="&amp;A30,People!$F$2:$F$7,"&gt;0")/E30)</f>
        <v/>
      </c>
      <c r="G30" s="9">
        <f>E30*Params!$B$9</f>
        <v/>
      </c>
      <c r="H30" s="11" t="n">
        <v>0</v>
      </c>
      <c r="I30" s="11" t="n">
        <v>0</v>
      </c>
      <c r="J30" s="11" t="n">
        <v>1</v>
      </c>
      <c r="K30" s="12" t="n">
        <v>0</v>
      </c>
      <c r="L30" s="12" t="n">
        <v>0</v>
      </c>
      <c r="M30" s="12" t="n">
        <v>0</v>
      </c>
      <c r="N30" s="12" t="n"/>
      <c r="O30" s="12" t="n"/>
      <c r="P30" s="12" t="n"/>
      <c r="Q30" s="12" t="n"/>
      <c r="R30" s="9">
        <f>IF(N30="",0,(2*INDEX(Houses!$D$2:$D$18,MATCH(N30,Houses!$A$2:$A$18,0))+Params!$B$57)/IF(O30="",1,INDEX(People!$D$2:$D$7,MATCH(O30,People!$A$2:$A$7,0))))</f>
        <v/>
      </c>
      <c r="S30" s="9">
        <f>IF(P30="",0,(2*INDEX(Houses!$D$2:$D$18,MATCH(P30,Houses!$A$2:$A$18,0))+Params!$B$57)/IF(Q30="",1,INDEX(People!$D$2:$D$7,MATCH(Q30,People!$A$2:$A$7,0))))</f>
        <v/>
      </c>
      <c r="T30" s="8">
        <f>IF(AND(N30="",P30=""),"",IF(MAX(R30,S30)&lt;=D30,"ok","DARK"))</f>
        <v/>
      </c>
      <c r="U30" s="9">
        <f>H30+I30+J30+K30*Params!$B$32+L30*Params!$B$34+M30*Params!$B$37+R30+S30</f>
        <v/>
      </c>
      <c r="V30" s="9">
        <f>G30-U30</f>
        <v/>
      </c>
      <c r="W30" s="9">
        <f>D30*E30-(H30+R30+S30)</f>
        <v/>
      </c>
      <c r="X30" s="12" t="n">
        <v>1</v>
      </c>
      <c r="Y30" s="8">
        <f>IF(N30="",0,IF(O30="",8,INDEX(People!$E$2:$E$7,MATCH(O30,People!$A$2:$A$7,0))))</f>
        <v/>
      </c>
      <c r="Z30" s="8">
        <f>IF(N30="",0,MAX(0,MIN(INDEX(Houses!$E$2:$E$18,MATCH(N30,Houses!$A$2:$A$18,0))-IF(INDEX(Houses!$H$2:$H$18,MATCH(N30,Houses!$A$2:$A$18,0))=1,SUMIF($N$8:N29,N30,$Z$8:Z29)+SUMIF($P$8:P29,N30,$AD$8:AD29),0),Y30)))</f>
        <v/>
      </c>
      <c r="AA30" s="8">
        <f>IF(N30="",0,MAX(0,MIN(INDEX(Houses!$F$2:$F$18,MATCH(N30,Houses!$A$2:$A$18,0))-IF(INDEX(Houses!$H$2:$H$18,MATCH(N30,Houses!$A$2:$A$18,0))=1,SUMIF($N$8:N29,N30,$AA$8:AA29)+SUMIF($P$8:P29,N30,$AE$8:AE29),0),INT((Y30-Z30)/2))))</f>
        <v/>
      </c>
      <c r="AB30" s="8">
        <f>IF(N30="",0,MAX(0,INDEX(Houses!$G$2:$G$18,MATCH(N30,Houses!$A$2:$A$18,0))-IF(INDEX(Houses!$H$2:$H$18,MATCH(N30,Houses!$A$2:$A$18,0))=1,SUMIF($N$8:N29,N30,$AB$8:AB29)+SUMIF($P$8:P29,N30,$AF$8:AF29),0)))</f>
        <v/>
      </c>
      <c r="AC30" s="8">
        <f>IF(P30="",0,IF(Q30="",8,INDEX(People!$E$2:$E$7,MATCH(Q30,People!$A$2:$A$7,0))))</f>
        <v/>
      </c>
      <c r="AD30" s="8">
        <f>IF(P30="",0,MAX(0,MIN(INDEX(Houses!$E$2:$E$18,MATCH(P30,Houses!$A$2:$A$18,0))-IF(INDEX(Houses!$H$2:$H$18,MATCH(P30,Houses!$A$2:$A$18,0))=1,SUMIF($P$8:P29,P30,$AD$8:AD29)+SUMIF($N$8:N29,P30,$Z$8:Z29)+IF(N30=P30,Z30,0),0),AC30)))</f>
        <v/>
      </c>
      <c r="AE30" s="8">
        <f>IF(P30="",0,MAX(0,MIN(INDEX(Houses!$F$2:$F$18,MATCH(P30,Houses!$A$2:$A$18,0))-IF(INDEX(Houses!$H$2:$H$18,MATCH(P30,Houses!$A$2:$A$18,0))=1,SUMIF($P$8:P29,P30,$AE$8:AE29)+SUMIF($N$8:N29,P30,$AA$8:AA29)+IF(N30=P30,AA30,0),0),INT((AC30-AD30)/2))))</f>
        <v/>
      </c>
      <c r="AF30" s="8">
        <f>IF(P30="",0,MAX(0,INDEX(Houses!$G$2:$G$18,MATCH(P30,Houses!$A$2:$A$18,0))-IF(INDEX(Houses!$H$2:$H$18,MATCH(P30,Houses!$A$2:$A$18,0))=1,SUMIF($P$8:P29,P30,$AF$8:AF29)+SUMIF($N$8:N29,P30,$AB$8:AB29)+IF(N30=P30,AB30,0),0)))</f>
        <v/>
      </c>
      <c r="AG30" s="9">
        <f>AG29+H30*Params!$B$24*F30-I30*Params!$B$25-J30*Params!$B$27</f>
        <v/>
      </c>
      <c r="AH30" s="9">
        <f>AH29+I30*Params!$B$25*Params!$B$26-K30*Params!$B$31-L30*Params!$B$33-M30*Params!$B$36+AA30+AE30</f>
        <v/>
      </c>
      <c r="AI30" s="9">
        <f>AI29+J30*Params!$B$27*Params!$B$28-X30*Params!$B$43*24</f>
        <v/>
      </c>
      <c r="AJ30" s="9">
        <f>AJ29-E30*Params!$B$22+Z30+AD30</f>
        <v/>
      </c>
      <c r="AK30" s="8">
        <f>AK29+AB30+AF30</f>
        <v/>
      </c>
      <c r="AL30" s="8">
        <f>MAX(0,AL29-M30)</f>
        <v/>
      </c>
      <c r="AM30" s="8">
        <f>MAX(0,AT29-K30)</f>
        <v/>
      </c>
      <c r="AN30" s="9">
        <f>AQ29+L30*Params!$B$35</f>
        <v/>
      </c>
      <c r="AO30" s="8">
        <f>IF(C30=0,0,INDEX(Nights!$B$2:$B$31,C30))</f>
        <v/>
      </c>
      <c r="AP30" s="9">
        <f>AO30*Params!$B$51*Params!$B$50</f>
        <v/>
      </c>
      <c r="AQ30" s="9">
        <f>MAX(0,AN30-AP30)</f>
        <v/>
      </c>
      <c r="AR30" s="8">
        <f>INT((AS29+MAX(0,AP30-AN30))/Params!$B$30)</f>
        <v/>
      </c>
      <c r="AS30" s="9">
        <f>(AS29+MAX(0,AP30-AN30))-AR30*Params!$B$30</f>
        <v/>
      </c>
      <c r="AT30" s="8">
        <f>AM30+AR30</f>
        <v/>
      </c>
      <c r="AU30" s="8">
        <f>IF(AND(AO30&gt;0,OR(AM30+AL30&gt;0,AR30&gt;0)),"BREACH","")</f>
        <v/>
      </c>
      <c r="AV30" s="13">
        <f>Params!$B$40+IF(AI30&lt;0,0,X30)*Params!$B$41-(AM30+AL30)*Params!$B$42</f>
        <v/>
      </c>
      <c r="AW30" s="9">
        <f>MAX(0,MIN(100,AW29-IF(AV30&lt;Params!$B$44,(Params!$B$44-AV30)*Params!$B$45,0)-IF(AJ30&lt;0,Params!$B$54,0)-IF(AU30="BREACH",Params!$B$53,0)-IF(T30="DARK",Params!$B$55,0)))</f>
        <v/>
      </c>
      <c r="AX30" s="8">
        <f>IF(AW30&lt;=0,"DEAD",TRIM(IF(V30&lt;0,"OVERWORK ","")&amp;IF(W30&lt;0,"NO-DAYLIGHT ","")&amp;IF(AG30&lt;0,"NO-LOGS ","")&amp;IF(AH30&lt;0,"NO-BOARDS ","")&amp;IF(AI30&lt;0,"NO-FUEL ","")&amp;IF(AJ30&lt;0,"HUNGER ","")&amp;AU30&amp;" "&amp;IF(T30="DARK","DARK-TRIP ","")&amp;IF(AV30&lt;Params!$B$44,"COLD","")))</f>
        <v/>
      </c>
    </row>
    <row r="31">
      <c r="A31" s="7" t="n">
        <v>23</v>
      </c>
      <c r="B31" s="8">
        <f>IF(A31&lt;=Params!$B$5,"prep","night")</f>
        <v/>
      </c>
      <c r="C31" s="8">
        <f>MAX(0,A31-Params!$B$5)</f>
        <v/>
      </c>
      <c r="D31" s="9">
        <f>IF(A31&lt;=Params!$B$5,ROUND(Params!$B$7-(Params!$B$7-Params!$B$8)*(A31-1)/(Params!$B$5-1),1),0)</f>
        <v/>
      </c>
      <c r="E31" s="8">
        <f>COUNTIFS(People!$F$2:$F$7,"&lt;="&amp;A31,People!$F$2:$F$7,"&gt;0")</f>
        <v/>
      </c>
      <c r="F31" s="10">
        <f>IF(E31=0,1,SUMIFS(People!$C$2:$C$7,People!$F$2:$F$7,"&lt;="&amp;A31,People!$F$2:$F$7,"&gt;0")/E31)</f>
        <v/>
      </c>
      <c r="G31" s="9">
        <f>E31*Params!$B$9</f>
        <v/>
      </c>
      <c r="H31" s="11" t="n">
        <v>0</v>
      </c>
      <c r="I31" s="11" t="n">
        <v>6</v>
      </c>
      <c r="J31" s="11" t="n">
        <v>2</v>
      </c>
      <c r="K31" s="12" t="n">
        <v>0</v>
      </c>
      <c r="L31" s="12" t="n">
        <v>4</v>
      </c>
      <c r="M31" s="12" t="n">
        <v>0</v>
      </c>
      <c r="N31" s="12" t="n"/>
      <c r="O31" s="12" t="n"/>
      <c r="P31" s="12" t="n"/>
      <c r="Q31" s="12" t="n"/>
      <c r="R31" s="9">
        <f>IF(N31="",0,(2*INDEX(Houses!$D$2:$D$18,MATCH(N31,Houses!$A$2:$A$18,0))+Params!$B$57)/IF(O31="",1,INDEX(People!$D$2:$D$7,MATCH(O31,People!$A$2:$A$7,0))))</f>
        <v/>
      </c>
      <c r="S31" s="9">
        <f>IF(P31="",0,(2*INDEX(Houses!$D$2:$D$18,MATCH(P31,Houses!$A$2:$A$18,0))+Params!$B$57)/IF(Q31="",1,INDEX(People!$D$2:$D$7,MATCH(Q31,People!$A$2:$A$7,0))))</f>
        <v/>
      </c>
      <c r="T31" s="8">
        <f>IF(AND(N31="",P31=""),"",IF(MAX(R31,S31)&lt;=D31,"ok","DARK"))</f>
        <v/>
      </c>
      <c r="U31" s="9">
        <f>H31+I31+J31+K31*Params!$B$32+L31*Params!$B$34+M31*Params!$B$37+R31+S31</f>
        <v/>
      </c>
      <c r="V31" s="9">
        <f>G31-U31</f>
        <v/>
      </c>
      <c r="W31" s="9">
        <f>D31*E31-(H31+R31+S31)</f>
        <v/>
      </c>
      <c r="X31" s="12" t="n">
        <v>1</v>
      </c>
      <c r="Y31" s="8">
        <f>IF(N31="",0,IF(O31="",8,INDEX(People!$E$2:$E$7,MATCH(O31,People!$A$2:$A$7,0))))</f>
        <v/>
      </c>
      <c r="Z31" s="8">
        <f>IF(N31="",0,MAX(0,MIN(INDEX(Houses!$E$2:$E$18,MATCH(N31,Houses!$A$2:$A$18,0))-IF(INDEX(Houses!$H$2:$H$18,MATCH(N31,Houses!$A$2:$A$18,0))=1,SUMIF($N$8:N30,N31,$Z$8:Z30)+SUMIF($P$8:P30,N31,$AD$8:AD30),0),Y31)))</f>
        <v/>
      </c>
      <c r="AA31" s="8">
        <f>IF(N31="",0,MAX(0,MIN(INDEX(Houses!$F$2:$F$18,MATCH(N31,Houses!$A$2:$A$18,0))-IF(INDEX(Houses!$H$2:$H$18,MATCH(N31,Houses!$A$2:$A$18,0))=1,SUMIF($N$8:N30,N31,$AA$8:AA30)+SUMIF($P$8:P30,N31,$AE$8:AE30),0),INT((Y31-Z31)/2))))</f>
        <v/>
      </c>
      <c r="AB31" s="8">
        <f>IF(N31="",0,MAX(0,INDEX(Houses!$G$2:$G$18,MATCH(N31,Houses!$A$2:$A$18,0))-IF(INDEX(Houses!$H$2:$H$18,MATCH(N31,Houses!$A$2:$A$18,0))=1,SUMIF($N$8:N30,N31,$AB$8:AB30)+SUMIF($P$8:P30,N31,$AF$8:AF30),0)))</f>
        <v/>
      </c>
      <c r="AC31" s="8">
        <f>IF(P31="",0,IF(Q31="",8,INDEX(People!$E$2:$E$7,MATCH(Q31,People!$A$2:$A$7,0))))</f>
        <v/>
      </c>
      <c r="AD31" s="8">
        <f>IF(P31="",0,MAX(0,MIN(INDEX(Houses!$E$2:$E$18,MATCH(P31,Houses!$A$2:$A$18,0))-IF(INDEX(Houses!$H$2:$H$18,MATCH(P31,Houses!$A$2:$A$18,0))=1,SUMIF($P$8:P30,P31,$AD$8:AD30)+SUMIF($N$8:N30,P31,$Z$8:Z30)+IF(N31=P31,Z31,0),0),AC31)))</f>
        <v/>
      </c>
      <c r="AE31" s="8">
        <f>IF(P31="",0,MAX(0,MIN(INDEX(Houses!$F$2:$F$18,MATCH(P31,Houses!$A$2:$A$18,0))-IF(INDEX(Houses!$H$2:$H$18,MATCH(P31,Houses!$A$2:$A$18,0))=1,SUMIF($P$8:P30,P31,$AE$8:AE30)+SUMIF($N$8:N30,P31,$AA$8:AA30)+IF(N31=P31,AA31,0),0),INT((AC31-AD31)/2))))</f>
        <v/>
      </c>
      <c r="AF31" s="8">
        <f>IF(P31="",0,MAX(0,INDEX(Houses!$G$2:$G$18,MATCH(P31,Houses!$A$2:$A$18,0))-IF(INDEX(Houses!$H$2:$H$18,MATCH(P31,Houses!$A$2:$A$18,0))=1,SUMIF($P$8:P30,P31,$AF$8:AF30)+SUMIF($N$8:N30,P31,$AB$8:AB30)+IF(N31=P31,AB31,0),0)))</f>
        <v/>
      </c>
      <c r="AG31" s="9">
        <f>AG30+H31*Params!$B$24*F31-I31*Params!$B$25-J31*Params!$B$27</f>
        <v/>
      </c>
      <c r="AH31" s="9">
        <f>AH30+I31*Params!$B$25*Params!$B$26-K31*Params!$B$31-L31*Params!$B$33-M31*Params!$B$36+AA31+AE31</f>
        <v/>
      </c>
      <c r="AI31" s="9">
        <f>AI30+J31*Params!$B$27*Params!$B$28-X31*Params!$B$43*24</f>
        <v/>
      </c>
      <c r="AJ31" s="9">
        <f>AJ30-E31*Params!$B$22+Z31+AD31</f>
        <v/>
      </c>
      <c r="AK31" s="8">
        <f>AK30+AB31+AF31</f>
        <v/>
      </c>
      <c r="AL31" s="8">
        <f>MAX(0,AL30-M31)</f>
        <v/>
      </c>
      <c r="AM31" s="8">
        <f>MAX(0,AT30-K31)</f>
        <v/>
      </c>
      <c r="AN31" s="9">
        <f>AQ30+L31*Params!$B$35</f>
        <v/>
      </c>
      <c r="AO31" s="8">
        <f>IF(C31=0,0,INDEX(Nights!$B$2:$B$31,C31))</f>
        <v/>
      </c>
      <c r="AP31" s="9">
        <f>AO31*Params!$B$51*Params!$B$50</f>
        <v/>
      </c>
      <c r="AQ31" s="9">
        <f>MAX(0,AN31-AP31)</f>
        <v/>
      </c>
      <c r="AR31" s="8">
        <f>INT((AS30+MAX(0,AP31-AN31))/Params!$B$30)</f>
        <v/>
      </c>
      <c r="AS31" s="9">
        <f>(AS30+MAX(0,AP31-AN31))-AR31*Params!$B$30</f>
        <v/>
      </c>
      <c r="AT31" s="8">
        <f>AM31+AR31</f>
        <v/>
      </c>
      <c r="AU31" s="8">
        <f>IF(AND(AO31&gt;0,OR(AM31+AL31&gt;0,AR31&gt;0)),"BREACH","")</f>
        <v/>
      </c>
      <c r="AV31" s="13">
        <f>Params!$B$40+IF(AI31&lt;0,0,X31)*Params!$B$41-(AM31+AL31)*Params!$B$42</f>
        <v/>
      </c>
      <c r="AW31" s="9">
        <f>MAX(0,MIN(100,AW30-IF(AV31&lt;Params!$B$44,(Params!$B$44-AV31)*Params!$B$45,0)-IF(AJ31&lt;0,Params!$B$54,0)-IF(AU31="BREACH",Params!$B$53,0)-IF(T31="DARK",Params!$B$55,0)))</f>
        <v/>
      </c>
      <c r="AX31" s="8">
        <f>IF(AW31&lt;=0,"DEAD",TRIM(IF(V31&lt;0,"OVERWORK ","")&amp;IF(W31&lt;0,"NO-DAYLIGHT ","")&amp;IF(AG31&lt;0,"NO-LOGS ","")&amp;IF(AH31&lt;0,"NO-BOARDS ","")&amp;IF(AI31&lt;0,"NO-FUEL ","")&amp;IF(AJ31&lt;0,"HUNGER ","")&amp;AU31&amp;" "&amp;IF(T31="DARK","DARK-TRIP ","")&amp;IF(AV31&lt;Params!$B$44,"COLD","")))</f>
        <v/>
      </c>
    </row>
    <row r="32">
      <c r="A32" s="7" t="n">
        <v>24</v>
      </c>
      <c r="B32" s="8">
        <f>IF(A32&lt;=Params!$B$5,"prep","night")</f>
        <v/>
      </c>
      <c r="C32" s="8">
        <f>MAX(0,A32-Params!$B$5)</f>
        <v/>
      </c>
      <c r="D32" s="9">
        <f>IF(A32&lt;=Params!$B$5,ROUND(Params!$B$7-(Params!$B$7-Params!$B$8)*(A32-1)/(Params!$B$5-1),1),0)</f>
        <v/>
      </c>
      <c r="E32" s="8">
        <f>COUNTIFS(People!$F$2:$F$7,"&lt;="&amp;A32,People!$F$2:$F$7,"&gt;0")</f>
        <v/>
      </c>
      <c r="F32" s="10">
        <f>IF(E32=0,1,SUMIFS(People!$C$2:$C$7,People!$F$2:$F$7,"&lt;="&amp;A32,People!$F$2:$F$7,"&gt;0")/E32)</f>
        <v/>
      </c>
      <c r="G32" s="9">
        <f>E32*Params!$B$9</f>
        <v/>
      </c>
      <c r="H32" s="11" t="n">
        <v>0</v>
      </c>
      <c r="I32" s="11" t="n">
        <v>1</v>
      </c>
      <c r="J32" s="11" t="n">
        <v>1</v>
      </c>
      <c r="K32" s="12" t="n">
        <v>0</v>
      </c>
      <c r="L32" s="12" t="n">
        <v>1</v>
      </c>
      <c r="M32" s="12" t="n">
        <v>0</v>
      </c>
      <c r="N32" s="12" t="n"/>
      <c r="O32" s="12" t="n"/>
      <c r="P32" s="12" t="n"/>
      <c r="Q32" s="12" t="n"/>
      <c r="R32" s="9">
        <f>IF(N32="",0,(2*INDEX(Houses!$D$2:$D$18,MATCH(N32,Houses!$A$2:$A$18,0))+Params!$B$57)/IF(O32="",1,INDEX(People!$D$2:$D$7,MATCH(O32,People!$A$2:$A$7,0))))</f>
        <v/>
      </c>
      <c r="S32" s="9">
        <f>IF(P32="",0,(2*INDEX(Houses!$D$2:$D$18,MATCH(P32,Houses!$A$2:$A$18,0))+Params!$B$57)/IF(Q32="",1,INDEX(People!$D$2:$D$7,MATCH(Q32,People!$A$2:$A$7,0))))</f>
        <v/>
      </c>
      <c r="T32" s="8">
        <f>IF(AND(N32="",P32=""),"",IF(MAX(R32,S32)&lt;=D32,"ok","DARK"))</f>
        <v/>
      </c>
      <c r="U32" s="9">
        <f>H32+I32+J32+K32*Params!$B$32+L32*Params!$B$34+M32*Params!$B$37+R32+S32</f>
        <v/>
      </c>
      <c r="V32" s="9">
        <f>G32-U32</f>
        <v/>
      </c>
      <c r="W32" s="9">
        <f>D32*E32-(H32+R32+S32)</f>
        <v/>
      </c>
      <c r="X32" s="12" t="n">
        <v>1</v>
      </c>
      <c r="Y32" s="8">
        <f>IF(N32="",0,IF(O32="",8,INDEX(People!$E$2:$E$7,MATCH(O32,People!$A$2:$A$7,0))))</f>
        <v/>
      </c>
      <c r="Z32" s="8">
        <f>IF(N32="",0,MAX(0,MIN(INDEX(Houses!$E$2:$E$18,MATCH(N32,Houses!$A$2:$A$18,0))-IF(INDEX(Houses!$H$2:$H$18,MATCH(N32,Houses!$A$2:$A$18,0))=1,SUMIF($N$8:N31,N32,$Z$8:Z31)+SUMIF($P$8:P31,N32,$AD$8:AD31),0),Y32)))</f>
        <v/>
      </c>
      <c r="AA32" s="8">
        <f>IF(N32="",0,MAX(0,MIN(INDEX(Houses!$F$2:$F$18,MATCH(N32,Houses!$A$2:$A$18,0))-IF(INDEX(Houses!$H$2:$H$18,MATCH(N32,Houses!$A$2:$A$18,0))=1,SUMIF($N$8:N31,N32,$AA$8:AA31)+SUMIF($P$8:P31,N32,$AE$8:AE31),0),INT((Y32-Z32)/2))))</f>
        <v/>
      </c>
      <c r="AB32" s="8">
        <f>IF(N32="",0,MAX(0,INDEX(Houses!$G$2:$G$18,MATCH(N32,Houses!$A$2:$A$18,0))-IF(INDEX(Houses!$H$2:$H$18,MATCH(N32,Houses!$A$2:$A$18,0))=1,SUMIF($N$8:N31,N32,$AB$8:AB31)+SUMIF($P$8:P31,N32,$AF$8:AF31),0)))</f>
        <v/>
      </c>
      <c r="AC32" s="8">
        <f>IF(P32="",0,IF(Q32="",8,INDEX(People!$E$2:$E$7,MATCH(Q32,People!$A$2:$A$7,0))))</f>
        <v/>
      </c>
      <c r="AD32" s="8">
        <f>IF(P32="",0,MAX(0,MIN(INDEX(Houses!$E$2:$E$18,MATCH(P32,Houses!$A$2:$A$18,0))-IF(INDEX(Houses!$H$2:$H$18,MATCH(P32,Houses!$A$2:$A$18,0))=1,SUMIF($P$8:P31,P32,$AD$8:AD31)+SUMIF($N$8:N31,P32,$Z$8:Z31)+IF(N32=P32,Z32,0),0),AC32)))</f>
        <v/>
      </c>
      <c r="AE32" s="8">
        <f>IF(P32="",0,MAX(0,MIN(INDEX(Houses!$F$2:$F$18,MATCH(P32,Houses!$A$2:$A$18,0))-IF(INDEX(Houses!$H$2:$H$18,MATCH(P32,Houses!$A$2:$A$18,0))=1,SUMIF($P$8:P31,P32,$AE$8:AE31)+SUMIF($N$8:N31,P32,$AA$8:AA31)+IF(N32=P32,AA32,0),0),INT((AC32-AD32)/2))))</f>
        <v/>
      </c>
      <c r="AF32" s="8">
        <f>IF(P32="",0,MAX(0,INDEX(Houses!$G$2:$G$18,MATCH(P32,Houses!$A$2:$A$18,0))-IF(INDEX(Houses!$H$2:$H$18,MATCH(P32,Houses!$A$2:$A$18,0))=1,SUMIF($P$8:P31,P32,$AF$8:AF31)+SUMIF($N$8:N31,P32,$AB$8:AB31)+IF(N32=P32,AB32,0),0)))</f>
        <v/>
      </c>
      <c r="AG32" s="9">
        <f>AG31+H32*Params!$B$24*F32-I32*Params!$B$25-J32*Params!$B$27</f>
        <v/>
      </c>
      <c r="AH32" s="9">
        <f>AH31+I32*Params!$B$25*Params!$B$26-K32*Params!$B$31-L32*Params!$B$33-M32*Params!$B$36+AA32+AE32</f>
        <v/>
      </c>
      <c r="AI32" s="9">
        <f>AI31+J32*Params!$B$27*Params!$B$28-X32*Params!$B$43*24</f>
        <v/>
      </c>
      <c r="AJ32" s="9">
        <f>AJ31-E32*Params!$B$22+Z32+AD32</f>
        <v/>
      </c>
      <c r="AK32" s="8">
        <f>AK31+AB32+AF32</f>
        <v/>
      </c>
      <c r="AL32" s="8">
        <f>MAX(0,AL31-M32)</f>
        <v/>
      </c>
      <c r="AM32" s="8">
        <f>MAX(0,AT31-K32)</f>
        <v/>
      </c>
      <c r="AN32" s="9">
        <f>AQ31+L32*Params!$B$35</f>
        <v/>
      </c>
      <c r="AO32" s="8">
        <f>IF(C32=0,0,INDEX(Nights!$B$2:$B$31,C32))</f>
        <v/>
      </c>
      <c r="AP32" s="9">
        <f>AO32*Params!$B$51*Params!$B$50</f>
        <v/>
      </c>
      <c r="AQ32" s="9">
        <f>MAX(0,AN32-AP32)</f>
        <v/>
      </c>
      <c r="AR32" s="8">
        <f>INT((AS31+MAX(0,AP32-AN32))/Params!$B$30)</f>
        <v/>
      </c>
      <c r="AS32" s="9">
        <f>(AS31+MAX(0,AP32-AN32))-AR32*Params!$B$30</f>
        <v/>
      </c>
      <c r="AT32" s="8">
        <f>AM32+AR32</f>
        <v/>
      </c>
      <c r="AU32" s="8">
        <f>IF(AND(AO32&gt;0,OR(AM32+AL32&gt;0,AR32&gt;0)),"BREACH","")</f>
        <v/>
      </c>
      <c r="AV32" s="13">
        <f>Params!$B$40+IF(AI32&lt;0,0,X32)*Params!$B$41-(AM32+AL32)*Params!$B$42</f>
        <v/>
      </c>
      <c r="AW32" s="9">
        <f>MAX(0,MIN(100,AW31-IF(AV32&lt;Params!$B$44,(Params!$B$44-AV32)*Params!$B$45,0)-IF(AJ32&lt;0,Params!$B$54,0)-IF(AU32="BREACH",Params!$B$53,0)-IF(T32="DARK",Params!$B$55,0)))</f>
        <v/>
      </c>
      <c r="AX32" s="8">
        <f>IF(AW32&lt;=0,"DEAD",TRIM(IF(V32&lt;0,"OVERWORK ","")&amp;IF(W32&lt;0,"NO-DAYLIGHT ","")&amp;IF(AG32&lt;0,"NO-LOGS ","")&amp;IF(AH32&lt;0,"NO-BOARDS ","")&amp;IF(AI32&lt;0,"NO-FUEL ","")&amp;IF(AJ32&lt;0,"HUNGER ","")&amp;AU32&amp;" "&amp;IF(T32="DARK","DARK-TRIP ","")&amp;IF(AV32&lt;Params!$B$44,"COLD","")))</f>
        <v/>
      </c>
    </row>
    <row r="33">
      <c r="A33" s="7" t="n">
        <v>25</v>
      </c>
      <c r="B33" s="8">
        <f>IF(A33&lt;=Params!$B$5,"prep","night")</f>
        <v/>
      </c>
      <c r="C33" s="8">
        <f>MAX(0,A33-Params!$B$5)</f>
        <v/>
      </c>
      <c r="D33" s="9">
        <f>IF(A33&lt;=Params!$B$5,ROUND(Params!$B$7-(Params!$B$7-Params!$B$8)*(A33-1)/(Params!$B$5-1),1),0)</f>
        <v/>
      </c>
      <c r="E33" s="8">
        <f>COUNTIFS(People!$F$2:$F$7,"&lt;="&amp;A33,People!$F$2:$F$7,"&gt;0")</f>
        <v/>
      </c>
      <c r="F33" s="10">
        <f>IF(E33=0,1,SUMIFS(People!$C$2:$C$7,People!$F$2:$F$7,"&lt;="&amp;A33,People!$F$2:$F$7,"&gt;0")/E33)</f>
        <v/>
      </c>
      <c r="G33" s="9">
        <f>E33*Params!$B$9</f>
        <v/>
      </c>
      <c r="H33" s="11" t="n">
        <v>0</v>
      </c>
      <c r="I33" s="11" t="n">
        <v>0</v>
      </c>
      <c r="J33" s="11" t="n">
        <v>1</v>
      </c>
      <c r="K33" s="12" t="n">
        <v>0</v>
      </c>
      <c r="L33" s="12" t="n">
        <v>0</v>
      </c>
      <c r="M33" s="12" t="n">
        <v>0</v>
      </c>
      <c r="N33" s="12" t="n"/>
      <c r="O33" s="12" t="n"/>
      <c r="P33" s="12" t="n"/>
      <c r="Q33" s="12" t="n"/>
      <c r="R33" s="9">
        <f>IF(N33="",0,(2*INDEX(Houses!$D$2:$D$18,MATCH(N33,Houses!$A$2:$A$18,0))+Params!$B$57)/IF(O33="",1,INDEX(People!$D$2:$D$7,MATCH(O33,People!$A$2:$A$7,0))))</f>
        <v/>
      </c>
      <c r="S33" s="9">
        <f>IF(P33="",0,(2*INDEX(Houses!$D$2:$D$18,MATCH(P33,Houses!$A$2:$A$18,0))+Params!$B$57)/IF(Q33="",1,INDEX(People!$D$2:$D$7,MATCH(Q33,People!$A$2:$A$7,0))))</f>
        <v/>
      </c>
      <c r="T33" s="8">
        <f>IF(AND(N33="",P33=""),"",IF(MAX(R33,S33)&lt;=D33,"ok","DARK"))</f>
        <v/>
      </c>
      <c r="U33" s="9">
        <f>H33+I33+J33+K33*Params!$B$32+L33*Params!$B$34+M33*Params!$B$37+R33+S33</f>
        <v/>
      </c>
      <c r="V33" s="9">
        <f>G33-U33</f>
        <v/>
      </c>
      <c r="W33" s="9">
        <f>D33*E33-(H33+R33+S33)</f>
        <v/>
      </c>
      <c r="X33" s="12" t="n">
        <v>1</v>
      </c>
      <c r="Y33" s="8">
        <f>IF(N33="",0,IF(O33="",8,INDEX(People!$E$2:$E$7,MATCH(O33,People!$A$2:$A$7,0))))</f>
        <v/>
      </c>
      <c r="Z33" s="8">
        <f>IF(N33="",0,MAX(0,MIN(INDEX(Houses!$E$2:$E$18,MATCH(N33,Houses!$A$2:$A$18,0))-IF(INDEX(Houses!$H$2:$H$18,MATCH(N33,Houses!$A$2:$A$18,0))=1,SUMIF($N$8:N32,N33,$Z$8:Z32)+SUMIF($P$8:P32,N33,$AD$8:AD32),0),Y33)))</f>
        <v/>
      </c>
      <c r="AA33" s="8">
        <f>IF(N33="",0,MAX(0,MIN(INDEX(Houses!$F$2:$F$18,MATCH(N33,Houses!$A$2:$A$18,0))-IF(INDEX(Houses!$H$2:$H$18,MATCH(N33,Houses!$A$2:$A$18,0))=1,SUMIF($N$8:N32,N33,$AA$8:AA32)+SUMIF($P$8:P32,N33,$AE$8:AE32),0),INT((Y33-Z33)/2))))</f>
        <v/>
      </c>
      <c r="AB33" s="8">
        <f>IF(N33="",0,MAX(0,INDEX(Houses!$G$2:$G$18,MATCH(N33,Houses!$A$2:$A$18,0))-IF(INDEX(Houses!$H$2:$H$18,MATCH(N33,Houses!$A$2:$A$18,0))=1,SUMIF($N$8:N32,N33,$AB$8:AB32)+SUMIF($P$8:P32,N33,$AF$8:AF32),0)))</f>
        <v/>
      </c>
      <c r="AC33" s="8">
        <f>IF(P33="",0,IF(Q33="",8,INDEX(People!$E$2:$E$7,MATCH(Q33,People!$A$2:$A$7,0))))</f>
        <v/>
      </c>
      <c r="AD33" s="8">
        <f>IF(P33="",0,MAX(0,MIN(INDEX(Houses!$E$2:$E$18,MATCH(P33,Houses!$A$2:$A$18,0))-IF(INDEX(Houses!$H$2:$H$18,MATCH(P33,Houses!$A$2:$A$18,0))=1,SUMIF($P$8:P32,P33,$AD$8:AD32)+SUMIF($N$8:N32,P33,$Z$8:Z32)+IF(N33=P33,Z33,0),0),AC33)))</f>
        <v/>
      </c>
      <c r="AE33" s="8">
        <f>IF(P33="",0,MAX(0,MIN(INDEX(Houses!$F$2:$F$18,MATCH(P33,Houses!$A$2:$A$18,0))-IF(INDEX(Houses!$H$2:$H$18,MATCH(P33,Houses!$A$2:$A$18,0))=1,SUMIF($P$8:P32,P33,$AE$8:AE32)+SUMIF($N$8:N32,P33,$AA$8:AA32)+IF(N33=P33,AA33,0),0),INT((AC33-AD33)/2))))</f>
        <v/>
      </c>
      <c r="AF33" s="8">
        <f>IF(P33="",0,MAX(0,INDEX(Houses!$G$2:$G$18,MATCH(P33,Houses!$A$2:$A$18,0))-IF(INDEX(Houses!$H$2:$H$18,MATCH(P33,Houses!$A$2:$A$18,0))=1,SUMIF($P$8:P32,P33,$AF$8:AF32)+SUMIF($N$8:N32,P33,$AB$8:AB32)+IF(N33=P33,AB33,0),0)))</f>
        <v/>
      </c>
      <c r="AG33" s="9">
        <f>AG32+H33*Params!$B$24*F33-I33*Params!$B$25-J33*Params!$B$27</f>
        <v/>
      </c>
      <c r="AH33" s="9">
        <f>AH32+I33*Params!$B$25*Params!$B$26-K33*Params!$B$31-L33*Params!$B$33-M33*Params!$B$36+AA33+AE33</f>
        <v/>
      </c>
      <c r="AI33" s="9">
        <f>AI32+J33*Params!$B$27*Params!$B$28-X33*Params!$B$43*24</f>
        <v/>
      </c>
      <c r="AJ33" s="9">
        <f>AJ32-E33*Params!$B$22+Z33+AD33</f>
        <v/>
      </c>
      <c r="AK33" s="8">
        <f>AK32+AB33+AF33</f>
        <v/>
      </c>
      <c r="AL33" s="8">
        <f>MAX(0,AL32-M33)</f>
        <v/>
      </c>
      <c r="AM33" s="8">
        <f>MAX(0,AT32-K33)</f>
        <v/>
      </c>
      <c r="AN33" s="9">
        <f>AQ32+L33*Params!$B$35</f>
        <v/>
      </c>
      <c r="AO33" s="8">
        <f>IF(C33=0,0,INDEX(Nights!$B$2:$B$31,C33))</f>
        <v/>
      </c>
      <c r="AP33" s="9">
        <f>AO33*Params!$B$51*Params!$B$50</f>
        <v/>
      </c>
      <c r="AQ33" s="9">
        <f>MAX(0,AN33-AP33)</f>
        <v/>
      </c>
      <c r="AR33" s="8">
        <f>INT((AS32+MAX(0,AP33-AN33))/Params!$B$30)</f>
        <v/>
      </c>
      <c r="AS33" s="9">
        <f>(AS32+MAX(0,AP33-AN33))-AR33*Params!$B$30</f>
        <v/>
      </c>
      <c r="AT33" s="8">
        <f>AM33+AR33</f>
        <v/>
      </c>
      <c r="AU33" s="8">
        <f>IF(AND(AO33&gt;0,OR(AM33+AL33&gt;0,AR33&gt;0)),"BREACH","")</f>
        <v/>
      </c>
      <c r="AV33" s="13">
        <f>Params!$B$40+IF(AI33&lt;0,0,X33)*Params!$B$41-(AM33+AL33)*Params!$B$42</f>
        <v/>
      </c>
      <c r="AW33" s="9">
        <f>MAX(0,MIN(100,AW32-IF(AV33&lt;Params!$B$44,(Params!$B$44-AV33)*Params!$B$45,0)-IF(AJ33&lt;0,Params!$B$54,0)-IF(AU33="BREACH",Params!$B$53,0)-IF(T33="DARK",Params!$B$55,0)))</f>
        <v/>
      </c>
      <c r="AX33" s="8">
        <f>IF(AW33&lt;=0,"DEAD",TRIM(IF(V33&lt;0,"OVERWORK ","")&amp;IF(W33&lt;0,"NO-DAYLIGHT ","")&amp;IF(AG33&lt;0,"NO-LOGS ","")&amp;IF(AH33&lt;0,"NO-BOARDS ","")&amp;IF(AI33&lt;0,"NO-FUEL ","")&amp;IF(AJ33&lt;0,"HUNGER ","")&amp;AU33&amp;" "&amp;IF(T33="DARK","DARK-TRIP ","")&amp;IF(AV33&lt;Params!$B$44,"COLD","")))</f>
        <v/>
      </c>
    </row>
    <row r="34">
      <c r="A34" s="7" t="n">
        <v>26</v>
      </c>
      <c r="B34" s="8">
        <f>IF(A34&lt;=Params!$B$5,"prep","night")</f>
        <v/>
      </c>
      <c r="C34" s="8">
        <f>MAX(0,A34-Params!$B$5)</f>
        <v/>
      </c>
      <c r="D34" s="9">
        <f>IF(A34&lt;=Params!$B$5,ROUND(Params!$B$7-(Params!$B$7-Params!$B$8)*(A34-1)/(Params!$B$5-1),1),0)</f>
        <v/>
      </c>
      <c r="E34" s="8">
        <f>COUNTIFS(People!$F$2:$F$7,"&lt;="&amp;A34,People!$F$2:$F$7,"&gt;0")</f>
        <v/>
      </c>
      <c r="F34" s="10">
        <f>IF(E34=0,1,SUMIFS(People!$C$2:$C$7,People!$F$2:$F$7,"&lt;="&amp;A34,People!$F$2:$F$7,"&gt;0")/E34)</f>
        <v/>
      </c>
      <c r="G34" s="9">
        <f>E34*Params!$B$9</f>
        <v/>
      </c>
      <c r="H34" s="11" t="n">
        <v>0</v>
      </c>
      <c r="I34" s="11" t="n">
        <v>6</v>
      </c>
      <c r="J34" s="11" t="n">
        <v>2</v>
      </c>
      <c r="K34" s="12" t="n">
        <v>0</v>
      </c>
      <c r="L34" s="12" t="n">
        <v>4</v>
      </c>
      <c r="M34" s="12" t="n">
        <v>0</v>
      </c>
      <c r="N34" s="12" t="n"/>
      <c r="O34" s="12" t="n"/>
      <c r="P34" s="12" t="n"/>
      <c r="Q34" s="12" t="n"/>
      <c r="R34" s="9">
        <f>IF(N34="",0,(2*INDEX(Houses!$D$2:$D$18,MATCH(N34,Houses!$A$2:$A$18,0))+Params!$B$57)/IF(O34="",1,INDEX(People!$D$2:$D$7,MATCH(O34,People!$A$2:$A$7,0))))</f>
        <v/>
      </c>
      <c r="S34" s="9">
        <f>IF(P34="",0,(2*INDEX(Houses!$D$2:$D$18,MATCH(P34,Houses!$A$2:$A$18,0))+Params!$B$57)/IF(Q34="",1,INDEX(People!$D$2:$D$7,MATCH(Q34,People!$A$2:$A$7,0))))</f>
        <v/>
      </c>
      <c r="T34" s="8">
        <f>IF(AND(N34="",P34=""),"",IF(MAX(R34,S34)&lt;=D34,"ok","DARK"))</f>
        <v/>
      </c>
      <c r="U34" s="9">
        <f>H34+I34+J34+K34*Params!$B$32+L34*Params!$B$34+M34*Params!$B$37+R34+S34</f>
        <v/>
      </c>
      <c r="V34" s="9">
        <f>G34-U34</f>
        <v/>
      </c>
      <c r="W34" s="9">
        <f>D34*E34-(H34+R34+S34)</f>
        <v/>
      </c>
      <c r="X34" s="12" t="n">
        <v>1</v>
      </c>
      <c r="Y34" s="8">
        <f>IF(N34="",0,IF(O34="",8,INDEX(People!$E$2:$E$7,MATCH(O34,People!$A$2:$A$7,0))))</f>
        <v/>
      </c>
      <c r="Z34" s="8">
        <f>IF(N34="",0,MAX(0,MIN(INDEX(Houses!$E$2:$E$18,MATCH(N34,Houses!$A$2:$A$18,0))-IF(INDEX(Houses!$H$2:$H$18,MATCH(N34,Houses!$A$2:$A$18,0))=1,SUMIF($N$8:N33,N34,$Z$8:Z33)+SUMIF($P$8:P33,N34,$AD$8:AD33),0),Y34)))</f>
        <v/>
      </c>
      <c r="AA34" s="8">
        <f>IF(N34="",0,MAX(0,MIN(INDEX(Houses!$F$2:$F$18,MATCH(N34,Houses!$A$2:$A$18,0))-IF(INDEX(Houses!$H$2:$H$18,MATCH(N34,Houses!$A$2:$A$18,0))=1,SUMIF($N$8:N33,N34,$AA$8:AA33)+SUMIF($P$8:P33,N34,$AE$8:AE33),0),INT((Y34-Z34)/2))))</f>
        <v/>
      </c>
      <c r="AB34" s="8">
        <f>IF(N34="",0,MAX(0,INDEX(Houses!$G$2:$G$18,MATCH(N34,Houses!$A$2:$A$18,0))-IF(INDEX(Houses!$H$2:$H$18,MATCH(N34,Houses!$A$2:$A$18,0))=1,SUMIF($N$8:N33,N34,$AB$8:AB33)+SUMIF($P$8:P33,N34,$AF$8:AF33),0)))</f>
        <v/>
      </c>
      <c r="AC34" s="8">
        <f>IF(P34="",0,IF(Q34="",8,INDEX(People!$E$2:$E$7,MATCH(Q34,People!$A$2:$A$7,0))))</f>
        <v/>
      </c>
      <c r="AD34" s="8">
        <f>IF(P34="",0,MAX(0,MIN(INDEX(Houses!$E$2:$E$18,MATCH(P34,Houses!$A$2:$A$18,0))-IF(INDEX(Houses!$H$2:$H$18,MATCH(P34,Houses!$A$2:$A$18,0))=1,SUMIF($P$8:P33,P34,$AD$8:AD33)+SUMIF($N$8:N33,P34,$Z$8:Z33)+IF(N34=P34,Z34,0),0),AC34)))</f>
        <v/>
      </c>
      <c r="AE34" s="8">
        <f>IF(P34="",0,MAX(0,MIN(INDEX(Houses!$F$2:$F$18,MATCH(P34,Houses!$A$2:$A$18,0))-IF(INDEX(Houses!$H$2:$H$18,MATCH(P34,Houses!$A$2:$A$18,0))=1,SUMIF($P$8:P33,P34,$AE$8:AE33)+SUMIF($N$8:N33,P34,$AA$8:AA33)+IF(N34=P34,AA34,0),0),INT((AC34-AD34)/2))))</f>
        <v/>
      </c>
      <c r="AF34" s="8">
        <f>IF(P34="",0,MAX(0,INDEX(Houses!$G$2:$G$18,MATCH(P34,Houses!$A$2:$A$18,0))-IF(INDEX(Houses!$H$2:$H$18,MATCH(P34,Houses!$A$2:$A$18,0))=1,SUMIF($P$8:P33,P34,$AF$8:AF33)+SUMIF($N$8:N33,P34,$AB$8:AB33)+IF(N34=P34,AB34,0),0)))</f>
        <v/>
      </c>
      <c r="AG34" s="9">
        <f>AG33+H34*Params!$B$24*F34-I34*Params!$B$25-J34*Params!$B$27</f>
        <v/>
      </c>
      <c r="AH34" s="9">
        <f>AH33+I34*Params!$B$25*Params!$B$26-K34*Params!$B$31-L34*Params!$B$33-M34*Params!$B$36+AA34+AE34</f>
        <v/>
      </c>
      <c r="AI34" s="9">
        <f>AI33+J34*Params!$B$27*Params!$B$28-X34*Params!$B$43*24</f>
        <v/>
      </c>
      <c r="AJ34" s="9">
        <f>AJ33-E34*Params!$B$22+Z34+AD34</f>
        <v/>
      </c>
      <c r="AK34" s="8">
        <f>AK33+AB34+AF34</f>
        <v/>
      </c>
      <c r="AL34" s="8">
        <f>MAX(0,AL33-M34)</f>
        <v/>
      </c>
      <c r="AM34" s="8">
        <f>MAX(0,AT33-K34)</f>
        <v/>
      </c>
      <c r="AN34" s="9">
        <f>AQ33+L34*Params!$B$35</f>
        <v/>
      </c>
      <c r="AO34" s="8">
        <f>IF(C34=0,0,INDEX(Nights!$B$2:$B$31,C34))</f>
        <v/>
      </c>
      <c r="AP34" s="9">
        <f>AO34*Params!$B$51*Params!$B$50</f>
        <v/>
      </c>
      <c r="AQ34" s="9">
        <f>MAX(0,AN34-AP34)</f>
        <v/>
      </c>
      <c r="AR34" s="8">
        <f>INT((AS33+MAX(0,AP34-AN34))/Params!$B$30)</f>
        <v/>
      </c>
      <c r="AS34" s="9">
        <f>(AS33+MAX(0,AP34-AN34))-AR34*Params!$B$30</f>
        <v/>
      </c>
      <c r="AT34" s="8">
        <f>AM34+AR34</f>
        <v/>
      </c>
      <c r="AU34" s="8">
        <f>IF(AND(AO34&gt;0,OR(AM34+AL34&gt;0,AR34&gt;0)),"BREACH","")</f>
        <v/>
      </c>
      <c r="AV34" s="13">
        <f>Params!$B$40+IF(AI34&lt;0,0,X34)*Params!$B$41-(AM34+AL34)*Params!$B$42</f>
        <v/>
      </c>
      <c r="AW34" s="9">
        <f>MAX(0,MIN(100,AW33-IF(AV34&lt;Params!$B$44,(Params!$B$44-AV34)*Params!$B$45,0)-IF(AJ34&lt;0,Params!$B$54,0)-IF(AU34="BREACH",Params!$B$53,0)-IF(T34="DARK",Params!$B$55,0)))</f>
        <v/>
      </c>
      <c r="AX34" s="8">
        <f>IF(AW34&lt;=0,"DEAD",TRIM(IF(V34&lt;0,"OVERWORK ","")&amp;IF(W34&lt;0,"NO-DAYLIGHT ","")&amp;IF(AG34&lt;0,"NO-LOGS ","")&amp;IF(AH34&lt;0,"NO-BOARDS ","")&amp;IF(AI34&lt;0,"NO-FUEL ","")&amp;IF(AJ34&lt;0,"HUNGER ","")&amp;AU34&amp;" "&amp;IF(T34="DARK","DARK-TRIP ","")&amp;IF(AV34&lt;Params!$B$44,"COLD","")))</f>
        <v/>
      </c>
    </row>
    <row r="35">
      <c r="A35" s="7" t="n">
        <v>27</v>
      </c>
      <c r="B35" s="8">
        <f>IF(A35&lt;=Params!$B$5,"prep","night")</f>
        <v/>
      </c>
      <c r="C35" s="8">
        <f>MAX(0,A35-Params!$B$5)</f>
        <v/>
      </c>
      <c r="D35" s="9">
        <f>IF(A35&lt;=Params!$B$5,ROUND(Params!$B$7-(Params!$B$7-Params!$B$8)*(A35-1)/(Params!$B$5-1),1),0)</f>
        <v/>
      </c>
      <c r="E35" s="8">
        <f>COUNTIFS(People!$F$2:$F$7,"&lt;="&amp;A35,People!$F$2:$F$7,"&gt;0")</f>
        <v/>
      </c>
      <c r="F35" s="10">
        <f>IF(E35=0,1,SUMIFS(People!$C$2:$C$7,People!$F$2:$F$7,"&lt;="&amp;A35,People!$F$2:$F$7,"&gt;0")/E35)</f>
        <v/>
      </c>
      <c r="G35" s="9">
        <f>E35*Params!$B$9</f>
        <v/>
      </c>
      <c r="H35" s="11" t="n">
        <v>0</v>
      </c>
      <c r="I35" s="11" t="n">
        <v>2</v>
      </c>
      <c r="J35" s="11" t="n">
        <v>1</v>
      </c>
      <c r="K35" s="12" t="n">
        <v>0</v>
      </c>
      <c r="L35" s="12" t="n">
        <v>1</v>
      </c>
      <c r="M35" s="12" t="n">
        <v>0</v>
      </c>
      <c r="N35" s="12" t="n"/>
      <c r="O35" s="12" t="n"/>
      <c r="P35" s="12" t="n"/>
      <c r="Q35" s="12" t="n"/>
      <c r="R35" s="9">
        <f>IF(N35="",0,(2*INDEX(Houses!$D$2:$D$18,MATCH(N35,Houses!$A$2:$A$18,0))+Params!$B$57)/IF(O35="",1,INDEX(People!$D$2:$D$7,MATCH(O35,People!$A$2:$A$7,0))))</f>
        <v/>
      </c>
      <c r="S35" s="9">
        <f>IF(P35="",0,(2*INDEX(Houses!$D$2:$D$18,MATCH(P35,Houses!$A$2:$A$18,0))+Params!$B$57)/IF(Q35="",1,INDEX(People!$D$2:$D$7,MATCH(Q35,People!$A$2:$A$7,0))))</f>
        <v/>
      </c>
      <c r="T35" s="8">
        <f>IF(AND(N35="",P35=""),"",IF(MAX(R35,S35)&lt;=D35,"ok","DARK"))</f>
        <v/>
      </c>
      <c r="U35" s="9">
        <f>H35+I35+J35+K35*Params!$B$32+L35*Params!$B$34+M35*Params!$B$37+R35+S35</f>
        <v/>
      </c>
      <c r="V35" s="9">
        <f>G35-U35</f>
        <v/>
      </c>
      <c r="W35" s="9">
        <f>D35*E35-(H35+R35+S35)</f>
        <v/>
      </c>
      <c r="X35" s="12" t="n">
        <v>1</v>
      </c>
      <c r="Y35" s="8">
        <f>IF(N35="",0,IF(O35="",8,INDEX(People!$E$2:$E$7,MATCH(O35,People!$A$2:$A$7,0))))</f>
        <v/>
      </c>
      <c r="Z35" s="8">
        <f>IF(N35="",0,MAX(0,MIN(INDEX(Houses!$E$2:$E$18,MATCH(N35,Houses!$A$2:$A$18,0))-IF(INDEX(Houses!$H$2:$H$18,MATCH(N35,Houses!$A$2:$A$18,0))=1,SUMIF($N$8:N34,N35,$Z$8:Z34)+SUMIF($P$8:P34,N35,$AD$8:AD34),0),Y35)))</f>
        <v/>
      </c>
      <c r="AA35" s="8">
        <f>IF(N35="",0,MAX(0,MIN(INDEX(Houses!$F$2:$F$18,MATCH(N35,Houses!$A$2:$A$18,0))-IF(INDEX(Houses!$H$2:$H$18,MATCH(N35,Houses!$A$2:$A$18,0))=1,SUMIF($N$8:N34,N35,$AA$8:AA34)+SUMIF($P$8:P34,N35,$AE$8:AE34),0),INT((Y35-Z35)/2))))</f>
        <v/>
      </c>
      <c r="AB35" s="8">
        <f>IF(N35="",0,MAX(0,INDEX(Houses!$G$2:$G$18,MATCH(N35,Houses!$A$2:$A$18,0))-IF(INDEX(Houses!$H$2:$H$18,MATCH(N35,Houses!$A$2:$A$18,0))=1,SUMIF($N$8:N34,N35,$AB$8:AB34)+SUMIF($P$8:P34,N35,$AF$8:AF34),0)))</f>
        <v/>
      </c>
      <c r="AC35" s="8">
        <f>IF(P35="",0,IF(Q35="",8,INDEX(People!$E$2:$E$7,MATCH(Q35,People!$A$2:$A$7,0))))</f>
        <v/>
      </c>
      <c r="AD35" s="8">
        <f>IF(P35="",0,MAX(0,MIN(INDEX(Houses!$E$2:$E$18,MATCH(P35,Houses!$A$2:$A$18,0))-IF(INDEX(Houses!$H$2:$H$18,MATCH(P35,Houses!$A$2:$A$18,0))=1,SUMIF($P$8:P34,P35,$AD$8:AD34)+SUMIF($N$8:N34,P35,$Z$8:Z34)+IF(N35=P35,Z35,0),0),AC35)))</f>
        <v/>
      </c>
      <c r="AE35" s="8">
        <f>IF(P35="",0,MAX(0,MIN(INDEX(Houses!$F$2:$F$18,MATCH(P35,Houses!$A$2:$A$18,0))-IF(INDEX(Houses!$H$2:$H$18,MATCH(P35,Houses!$A$2:$A$18,0))=1,SUMIF($P$8:P34,P35,$AE$8:AE34)+SUMIF($N$8:N34,P35,$AA$8:AA34)+IF(N35=P35,AA35,0),0),INT((AC35-AD35)/2))))</f>
        <v/>
      </c>
      <c r="AF35" s="8">
        <f>IF(P35="",0,MAX(0,INDEX(Houses!$G$2:$G$18,MATCH(P35,Houses!$A$2:$A$18,0))-IF(INDEX(Houses!$H$2:$H$18,MATCH(P35,Houses!$A$2:$A$18,0))=1,SUMIF($P$8:P34,P35,$AF$8:AF34)+SUMIF($N$8:N34,P35,$AB$8:AB34)+IF(N35=P35,AB35,0),0)))</f>
        <v/>
      </c>
      <c r="AG35" s="9">
        <f>AG34+H35*Params!$B$24*F35-I35*Params!$B$25-J35*Params!$B$27</f>
        <v/>
      </c>
      <c r="AH35" s="9">
        <f>AH34+I35*Params!$B$25*Params!$B$26-K35*Params!$B$31-L35*Params!$B$33-M35*Params!$B$36+AA35+AE35</f>
        <v/>
      </c>
      <c r="AI35" s="9">
        <f>AI34+J35*Params!$B$27*Params!$B$28-X35*Params!$B$43*24</f>
        <v/>
      </c>
      <c r="AJ35" s="9">
        <f>AJ34-E35*Params!$B$22+Z35+AD35</f>
        <v/>
      </c>
      <c r="AK35" s="8">
        <f>AK34+AB35+AF35</f>
        <v/>
      </c>
      <c r="AL35" s="8">
        <f>MAX(0,AL34-M35)</f>
        <v/>
      </c>
      <c r="AM35" s="8">
        <f>MAX(0,AT34-K35)</f>
        <v/>
      </c>
      <c r="AN35" s="9">
        <f>AQ34+L35*Params!$B$35</f>
        <v/>
      </c>
      <c r="AO35" s="8">
        <f>IF(C35=0,0,INDEX(Nights!$B$2:$B$31,C35))</f>
        <v/>
      </c>
      <c r="AP35" s="9">
        <f>AO35*Params!$B$51*Params!$B$50</f>
        <v/>
      </c>
      <c r="AQ35" s="9">
        <f>MAX(0,AN35-AP35)</f>
        <v/>
      </c>
      <c r="AR35" s="8">
        <f>INT((AS34+MAX(0,AP35-AN35))/Params!$B$30)</f>
        <v/>
      </c>
      <c r="AS35" s="9">
        <f>(AS34+MAX(0,AP35-AN35))-AR35*Params!$B$30</f>
        <v/>
      </c>
      <c r="AT35" s="8">
        <f>AM35+AR35</f>
        <v/>
      </c>
      <c r="AU35" s="8">
        <f>IF(AND(AO35&gt;0,OR(AM35+AL35&gt;0,AR35&gt;0)),"BREACH","")</f>
        <v/>
      </c>
      <c r="AV35" s="13">
        <f>Params!$B$40+IF(AI35&lt;0,0,X35)*Params!$B$41-(AM35+AL35)*Params!$B$42</f>
        <v/>
      </c>
      <c r="AW35" s="9">
        <f>MAX(0,MIN(100,AW34-IF(AV35&lt;Params!$B$44,(Params!$B$44-AV35)*Params!$B$45,0)-IF(AJ35&lt;0,Params!$B$54,0)-IF(AU35="BREACH",Params!$B$53,0)-IF(T35="DARK",Params!$B$55,0)))</f>
        <v/>
      </c>
      <c r="AX35" s="8">
        <f>IF(AW35&lt;=0,"DEAD",TRIM(IF(V35&lt;0,"OVERWORK ","")&amp;IF(W35&lt;0,"NO-DAYLIGHT ","")&amp;IF(AG35&lt;0,"NO-LOGS ","")&amp;IF(AH35&lt;0,"NO-BOARDS ","")&amp;IF(AI35&lt;0,"NO-FUEL ","")&amp;IF(AJ35&lt;0,"HUNGER ","")&amp;AU35&amp;" "&amp;IF(T35="DARK","DARK-TRIP ","")&amp;IF(AV35&lt;Params!$B$44,"COLD","")))</f>
        <v/>
      </c>
    </row>
    <row r="36">
      <c r="A36" s="7" t="n">
        <v>28</v>
      </c>
      <c r="B36" s="8">
        <f>IF(A36&lt;=Params!$B$5,"prep","night")</f>
        <v/>
      </c>
      <c r="C36" s="8">
        <f>MAX(0,A36-Params!$B$5)</f>
        <v/>
      </c>
      <c r="D36" s="9">
        <f>IF(A36&lt;=Params!$B$5,ROUND(Params!$B$7-(Params!$B$7-Params!$B$8)*(A36-1)/(Params!$B$5-1),1),0)</f>
        <v/>
      </c>
      <c r="E36" s="8">
        <f>COUNTIFS(People!$F$2:$F$7,"&lt;="&amp;A36,People!$F$2:$F$7,"&gt;0")</f>
        <v/>
      </c>
      <c r="F36" s="10">
        <f>IF(E36=0,1,SUMIFS(People!$C$2:$C$7,People!$F$2:$F$7,"&lt;="&amp;A36,People!$F$2:$F$7,"&gt;0")/E36)</f>
        <v/>
      </c>
      <c r="G36" s="9">
        <f>E36*Params!$B$9</f>
        <v/>
      </c>
      <c r="H36" s="11" t="n">
        <v>0</v>
      </c>
      <c r="I36" s="11" t="n">
        <v>0</v>
      </c>
      <c r="J36" s="11" t="n">
        <v>1</v>
      </c>
      <c r="K36" s="12" t="n">
        <v>0</v>
      </c>
      <c r="L36" s="12" t="n">
        <v>0</v>
      </c>
      <c r="M36" s="12" t="n">
        <v>0</v>
      </c>
      <c r="N36" s="12" t="n"/>
      <c r="O36" s="12" t="n"/>
      <c r="P36" s="12" t="n"/>
      <c r="Q36" s="12" t="n"/>
      <c r="R36" s="9">
        <f>IF(N36="",0,(2*INDEX(Houses!$D$2:$D$18,MATCH(N36,Houses!$A$2:$A$18,0))+Params!$B$57)/IF(O36="",1,INDEX(People!$D$2:$D$7,MATCH(O36,People!$A$2:$A$7,0))))</f>
        <v/>
      </c>
      <c r="S36" s="9">
        <f>IF(P36="",0,(2*INDEX(Houses!$D$2:$D$18,MATCH(P36,Houses!$A$2:$A$18,0))+Params!$B$57)/IF(Q36="",1,INDEX(People!$D$2:$D$7,MATCH(Q36,People!$A$2:$A$7,0))))</f>
        <v/>
      </c>
      <c r="T36" s="8">
        <f>IF(AND(N36="",P36=""),"",IF(MAX(R36,S36)&lt;=D36,"ok","DARK"))</f>
        <v/>
      </c>
      <c r="U36" s="9">
        <f>H36+I36+J36+K36*Params!$B$32+L36*Params!$B$34+M36*Params!$B$37+R36+S36</f>
        <v/>
      </c>
      <c r="V36" s="9">
        <f>G36-U36</f>
        <v/>
      </c>
      <c r="W36" s="9">
        <f>D36*E36-(H36+R36+S36)</f>
        <v/>
      </c>
      <c r="X36" s="12" t="n">
        <v>1</v>
      </c>
      <c r="Y36" s="8">
        <f>IF(N36="",0,IF(O36="",8,INDEX(People!$E$2:$E$7,MATCH(O36,People!$A$2:$A$7,0))))</f>
        <v/>
      </c>
      <c r="Z36" s="8">
        <f>IF(N36="",0,MAX(0,MIN(INDEX(Houses!$E$2:$E$18,MATCH(N36,Houses!$A$2:$A$18,0))-IF(INDEX(Houses!$H$2:$H$18,MATCH(N36,Houses!$A$2:$A$18,0))=1,SUMIF($N$8:N35,N36,$Z$8:Z35)+SUMIF($P$8:P35,N36,$AD$8:AD35),0),Y36)))</f>
        <v/>
      </c>
      <c r="AA36" s="8">
        <f>IF(N36="",0,MAX(0,MIN(INDEX(Houses!$F$2:$F$18,MATCH(N36,Houses!$A$2:$A$18,0))-IF(INDEX(Houses!$H$2:$H$18,MATCH(N36,Houses!$A$2:$A$18,0))=1,SUMIF($N$8:N35,N36,$AA$8:AA35)+SUMIF($P$8:P35,N36,$AE$8:AE35),0),INT((Y36-Z36)/2))))</f>
        <v/>
      </c>
      <c r="AB36" s="8">
        <f>IF(N36="",0,MAX(0,INDEX(Houses!$G$2:$G$18,MATCH(N36,Houses!$A$2:$A$18,0))-IF(INDEX(Houses!$H$2:$H$18,MATCH(N36,Houses!$A$2:$A$18,0))=1,SUMIF($N$8:N35,N36,$AB$8:AB35)+SUMIF($P$8:P35,N36,$AF$8:AF35),0)))</f>
        <v/>
      </c>
      <c r="AC36" s="8">
        <f>IF(P36="",0,IF(Q36="",8,INDEX(People!$E$2:$E$7,MATCH(Q36,People!$A$2:$A$7,0))))</f>
        <v/>
      </c>
      <c r="AD36" s="8">
        <f>IF(P36="",0,MAX(0,MIN(INDEX(Houses!$E$2:$E$18,MATCH(P36,Houses!$A$2:$A$18,0))-IF(INDEX(Houses!$H$2:$H$18,MATCH(P36,Houses!$A$2:$A$18,0))=1,SUMIF($P$8:P35,P36,$AD$8:AD35)+SUMIF($N$8:N35,P36,$Z$8:Z35)+IF(N36=P36,Z36,0),0),AC36)))</f>
        <v/>
      </c>
      <c r="AE36" s="8">
        <f>IF(P36="",0,MAX(0,MIN(INDEX(Houses!$F$2:$F$18,MATCH(P36,Houses!$A$2:$A$18,0))-IF(INDEX(Houses!$H$2:$H$18,MATCH(P36,Houses!$A$2:$A$18,0))=1,SUMIF($P$8:P35,P36,$AE$8:AE35)+SUMIF($N$8:N35,P36,$AA$8:AA35)+IF(N36=P36,AA36,0),0),INT((AC36-AD36)/2))))</f>
        <v/>
      </c>
      <c r="AF36" s="8">
        <f>IF(P36="",0,MAX(0,INDEX(Houses!$G$2:$G$18,MATCH(P36,Houses!$A$2:$A$18,0))-IF(INDEX(Houses!$H$2:$H$18,MATCH(P36,Houses!$A$2:$A$18,0))=1,SUMIF($P$8:P35,P36,$AF$8:AF35)+SUMIF($N$8:N35,P36,$AB$8:AB35)+IF(N36=P36,AB36,0),0)))</f>
        <v/>
      </c>
      <c r="AG36" s="9">
        <f>AG35+H36*Params!$B$24*F36-I36*Params!$B$25-J36*Params!$B$27</f>
        <v/>
      </c>
      <c r="AH36" s="9">
        <f>AH35+I36*Params!$B$25*Params!$B$26-K36*Params!$B$31-L36*Params!$B$33-M36*Params!$B$36+AA36+AE36</f>
        <v/>
      </c>
      <c r="AI36" s="9">
        <f>AI35+J36*Params!$B$27*Params!$B$28-X36*Params!$B$43*24</f>
        <v/>
      </c>
      <c r="AJ36" s="9">
        <f>AJ35-E36*Params!$B$22+Z36+AD36</f>
        <v/>
      </c>
      <c r="AK36" s="8">
        <f>AK35+AB36+AF36</f>
        <v/>
      </c>
      <c r="AL36" s="8">
        <f>MAX(0,AL35-M36)</f>
        <v/>
      </c>
      <c r="AM36" s="8">
        <f>MAX(0,AT35-K36)</f>
        <v/>
      </c>
      <c r="AN36" s="9">
        <f>AQ35+L36*Params!$B$35</f>
        <v/>
      </c>
      <c r="AO36" s="8">
        <f>IF(C36=0,0,INDEX(Nights!$B$2:$B$31,C36))</f>
        <v/>
      </c>
      <c r="AP36" s="9">
        <f>AO36*Params!$B$51*Params!$B$50</f>
        <v/>
      </c>
      <c r="AQ36" s="9">
        <f>MAX(0,AN36-AP36)</f>
        <v/>
      </c>
      <c r="AR36" s="8">
        <f>INT((AS35+MAX(0,AP36-AN36))/Params!$B$30)</f>
        <v/>
      </c>
      <c r="AS36" s="9">
        <f>(AS35+MAX(0,AP36-AN36))-AR36*Params!$B$30</f>
        <v/>
      </c>
      <c r="AT36" s="8">
        <f>AM36+AR36</f>
        <v/>
      </c>
      <c r="AU36" s="8">
        <f>IF(AND(AO36&gt;0,OR(AM36+AL36&gt;0,AR36&gt;0)),"BREACH","")</f>
        <v/>
      </c>
      <c r="AV36" s="13">
        <f>Params!$B$40+IF(AI36&lt;0,0,X36)*Params!$B$41-(AM36+AL36)*Params!$B$42</f>
        <v/>
      </c>
      <c r="AW36" s="9">
        <f>MAX(0,MIN(100,AW35-IF(AV36&lt;Params!$B$44,(Params!$B$44-AV36)*Params!$B$45,0)-IF(AJ36&lt;0,Params!$B$54,0)-IF(AU36="BREACH",Params!$B$53,0)-IF(T36="DARK",Params!$B$55,0)))</f>
        <v/>
      </c>
      <c r="AX36" s="8">
        <f>IF(AW36&lt;=0,"DEAD",TRIM(IF(V36&lt;0,"OVERWORK ","")&amp;IF(W36&lt;0,"NO-DAYLIGHT ","")&amp;IF(AG36&lt;0,"NO-LOGS ","")&amp;IF(AH36&lt;0,"NO-BOARDS ","")&amp;IF(AI36&lt;0,"NO-FUEL ","")&amp;IF(AJ36&lt;0,"HUNGER ","")&amp;AU36&amp;" "&amp;IF(T36="DARK","DARK-TRIP ","")&amp;IF(AV36&lt;Params!$B$44,"COLD","")))</f>
        <v/>
      </c>
    </row>
    <row r="37">
      <c r="A37" s="7" t="n">
        <v>29</v>
      </c>
      <c r="B37" s="8">
        <f>IF(A37&lt;=Params!$B$5,"prep","night")</f>
        <v/>
      </c>
      <c r="C37" s="8">
        <f>MAX(0,A37-Params!$B$5)</f>
        <v/>
      </c>
      <c r="D37" s="9">
        <f>IF(A37&lt;=Params!$B$5,ROUND(Params!$B$7-(Params!$B$7-Params!$B$8)*(A37-1)/(Params!$B$5-1),1),0)</f>
        <v/>
      </c>
      <c r="E37" s="8">
        <f>COUNTIFS(People!$F$2:$F$7,"&lt;="&amp;A37,People!$F$2:$F$7,"&gt;0")</f>
        <v/>
      </c>
      <c r="F37" s="10">
        <f>IF(E37=0,1,SUMIFS(People!$C$2:$C$7,People!$F$2:$F$7,"&lt;="&amp;A37,People!$F$2:$F$7,"&gt;0")/E37)</f>
        <v/>
      </c>
      <c r="G37" s="9">
        <f>E37*Params!$B$9</f>
        <v/>
      </c>
      <c r="H37" s="11" t="n">
        <v>0</v>
      </c>
      <c r="I37" s="11" t="n">
        <v>6</v>
      </c>
      <c r="J37" s="11" t="n">
        <v>2</v>
      </c>
      <c r="K37" s="12" t="n">
        <v>0</v>
      </c>
      <c r="L37" s="12" t="n">
        <v>4</v>
      </c>
      <c r="M37" s="12" t="n">
        <v>0</v>
      </c>
      <c r="N37" s="12" t="n"/>
      <c r="O37" s="12" t="n"/>
      <c r="P37" s="12" t="n"/>
      <c r="Q37" s="12" t="n"/>
      <c r="R37" s="9">
        <f>IF(N37="",0,(2*INDEX(Houses!$D$2:$D$18,MATCH(N37,Houses!$A$2:$A$18,0))+Params!$B$57)/IF(O37="",1,INDEX(People!$D$2:$D$7,MATCH(O37,People!$A$2:$A$7,0))))</f>
        <v/>
      </c>
      <c r="S37" s="9">
        <f>IF(P37="",0,(2*INDEX(Houses!$D$2:$D$18,MATCH(P37,Houses!$A$2:$A$18,0))+Params!$B$57)/IF(Q37="",1,INDEX(People!$D$2:$D$7,MATCH(Q37,People!$A$2:$A$7,0))))</f>
        <v/>
      </c>
      <c r="T37" s="8">
        <f>IF(AND(N37="",P37=""),"",IF(MAX(R37,S37)&lt;=D37,"ok","DARK"))</f>
        <v/>
      </c>
      <c r="U37" s="9">
        <f>H37+I37+J37+K37*Params!$B$32+L37*Params!$B$34+M37*Params!$B$37+R37+S37</f>
        <v/>
      </c>
      <c r="V37" s="9">
        <f>G37-U37</f>
        <v/>
      </c>
      <c r="W37" s="9">
        <f>D37*E37-(H37+R37+S37)</f>
        <v/>
      </c>
      <c r="X37" s="12" t="n">
        <v>1</v>
      </c>
      <c r="Y37" s="8">
        <f>IF(N37="",0,IF(O37="",8,INDEX(People!$E$2:$E$7,MATCH(O37,People!$A$2:$A$7,0))))</f>
        <v/>
      </c>
      <c r="Z37" s="8">
        <f>IF(N37="",0,MAX(0,MIN(INDEX(Houses!$E$2:$E$18,MATCH(N37,Houses!$A$2:$A$18,0))-IF(INDEX(Houses!$H$2:$H$18,MATCH(N37,Houses!$A$2:$A$18,0))=1,SUMIF($N$8:N36,N37,$Z$8:Z36)+SUMIF($P$8:P36,N37,$AD$8:AD36),0),Y37)))</f>
        <v/>
      </c>
      <c r="AA37" s="8">
        <f>IF(N37="",0,MAX(0,MIN(INDEX(Houses!$F$2:$F$18,MATCH(N37,Houses!$A$2:$A$18,0))-IF(INDEX(Houses!$H$2:$H$18,MATCH(N37,Houses!$A$2:$A$18,0))=1,SUMIF($N$8:N36,N37,$AA$8:AA36)+SUMIF($P$8:P36,N37,$AE$8:AE36),0),INT((Y37-Z37)/2))))</f>
        <v/>
      </c>
      <c r="AB37" s="8">
        <f>IF(N37="",0,MAX(0,INDEX(Houses!$G$2:$G$18,MATCH(N37,Houses!$A$2:$A$18,0))-IF(INDEX(Houses!$H$2:$H$18,MATCH(N37,Houses!$A$2:$A$18,0))=1,SUMIF($N$8:N36,N37,$AB$8:AB36)+SUMIF($P$8:P36,N37,$AF$8:AF36),0)))</f>
        <v/>
      </c>
      <c r="AC37" s="8">
        <f>IF(P37="",0,IF(Q37="",8,INDEX(People!$E$2:$E$7,MATCH(Q37,People!$A$2:$A$7,0))))</f>
        <v/>
      </c>
      <c r="AD37" s="8">
        <f>IF(P37="",0,MAX(0,MIN(INDEX(Houses!$E$2:$E$18,MATCH(P37,Houses!$A$2:$A$18,0))-IF(INDEX(Houses!$H$2:$H$18,MATCH(P37,Houses!$A$2:$A$18,0))=1,SUMIF($P$8:P36,P37,$AD$8:AD36)+SUMIF($N$8:N36,P37,$Z$8:Z36)+IF(N37=P37,Z37,0),0),AC37)))</f>
        <v/>
      </c>
      <c r="AE37" s="8">
        <f>IF(P37="",0,MAX(0,MIN(INDEX(Houses!$F$2:$F$18,MATCH(P37,Houses!$A$2:$A$18,0))-IF(INDEX(Houses!$H$2:$H$18,MATCH(P37,Houses!$A$2:$A$18,0))=1,SUMIF($P$8:P36,P37,$AE$8:AE36)+SUMIF($N$8:N36,P37,$AA$8:AA36)+IF(N37=P37,AA37,0),0),INT((AC37-AD37)/2))))</f>
        <v/>
      </c>
      <c r="AF37" s="8">
        <f>IF(P37="",0,MAX(0,INDEX(Houses!$G$2:$G$18,MATCH(P37,Houses!$A$2:$A$18,0))-IF(INDEX(Houses!$H$2:$H$18,MATCH(P37,Houses!$A$2:$A$18,0))=1,SUMIF($P$8:P36,P37,$AF$8:AF36)+SUMIF($N$8:N36,P37,$AB$8:AB36)+IF(N37=P37,AB37,0),0)))</f>
        <v/>
      </c>
      <c r="AG37" s="9">
        <f>AG36+H37*Params!$B$24*F37-I37*Params!$B$25-J37*Params!$B$27</f>
        <v/>
      </c>
      <c r="AH37" s="9">
        <f>AH36+I37*Params!$B$25*Params!$B$26-K37*Params!$B$31-L37*Params!$B$33-M37*Params!$B$36+AA37+AE37</f>
        <v/>
      </c>
      <c r="AI37" s="9">
        <f>AI36+J37*Params!$B$27*Params!$B$28-X37*Params!$B$43*24</f>
        <v/>
      </c>
      <c r="AJ37" s="9">
        <f>AJ36-E37*Params!$B$22+Z37+AD37</f>
        <v/>
      </c>
      <c r="AK37" s="8">
        <f>AK36+AB37+AF37</f>
        <v/>
      </c>
      <c r="AL37" s="8">
        <f>MAX(0,AL36-M37)</f>
        <v/>
      </c>
      <c r="AM37" s="8">
        <f>MAX(0,AT36-K37)</f>
        <v/>
      </c>
      <c r="AN37" s="9">
        <f>AQ36+L37*Params!$B$35</f>
        <v/>
      </c>
      <c r="AO37" s="8">
        <f>IF(C37=0,0,INDEX(Nights!$B$2:$B$31,C37))</f>
        <v/>
      </c>
      <c r="AP37" s="9">
        <f>AO37*Params!$B$51*Params!$B$50</f>
        <v/>
      </c>
      <c r="AQ37" s="9">
        <f>MAX(0,AN37-AP37)</f>
        <v/>
      </c>
      <c r="AR37" s="8">
        <f>INT((AS36+MAX(0,AP37-AN37))/Params!$B$30)</f>
        <v/>
      </c>
      <c r="AS37" s="9">
        <f>(AS36+MAX(0,AP37-AN37))-AR37*Params!$B$30</f>
        <v/>
      </c>
      <c r="AT37" s="8">
        <f>AM37+AR37</f>
        <v/>
      </c>
      <c r="AU37" s="8">
        <f>IF(AND(AO37&gt;0,OR(AM37+AL37&gt;0,AR37&gt;0)),"BREACH","")</f>
        <v/>
      </c>
      <c r="AV37" s="13">
        <f>Params!$B$40+IF(AI37&lt;0,0,X37)*Params!$B$41-(AM37+AL37)*Params!$B$42</f>
        <v/>
      </c>
      <c r="AW37" s="9">
        <f>MAX(0,MIN(100,AW36-IF(AV37&lt;Params!$B$44,(Params!$B$44-AV37)*Params!$B$45,0)-IF(AJ37&lt;0,Params!$B$54,0)-IF(AU37="BREACH",Params!$B$53,0)-IF(T37="DARK",Params!$B$55,0)))</f>
        <v/>
      </c>
      <c r="AX37" s="8">
        <f>IF(AW37&lt;=0,"DEAD",TRIM(IF(V37&lt;0,"OVERWORK ","")&amp;IF(W37&lt;0,"NO-DAYLIGHT ","")&amp;IF(AG37&lt;0,"NO-LOGS ","")&amp;IF(AH37&lt;0,"NO-BOARDS ","")&amp;IF(AI37&lt;0,"NO-FUEL ","")&amp;IF(AJ37&lt;0,"HUNGER ","")&amp;AU37&amp;" "&amp;IF(T37="DARK","DARK-TRIP ","")&amp;IF(AV37&lt;Params!$B$44,"COLD","")))</f>
        <v/>
      </c>
    </row>
    <row r="38">
      <c r="A38" s="7" t="n">
        <v>30</v>
      </c>
      <c r="B38" s="8">
        <f>IF(A38&lt;=Params!$B$5,"prep","night")</f>
        <v/>
      </c>
      <c r="C38" s="8">
        <f>MAX(0,A38-Params!$B$5)</f>
        <v/>
      </c>
      <c r="D38" s="9">
        <f>IF(A38&lt;=Params!$B$5,ROUND(Params!$B$7-(Params!$B$7-Params!$B$8)*(A38-1)/(Params!$B$5-1),1),0)</f>
        <v/>
      </c>
      <c r="E38" s="8">
        <f>COUNTIFS(People!$F$2:$F$7,"&lt;="&amp;A38,People!$F$2:$F$7,"&gt;0")</f>
        <v/>
      </c>
      <c r="F38" s="10">
        <f>IF(E38=0,1,SUMIFS(People!$C$2:$C$7,People!$F$2:$F$7,"&lt;="&amp;A38,People!$F$2:$F$7,"&gt;0")/E38)</f>
        <v/>
      </c>
      <c r="G38" s="9">
        <f>E38*Params!$B$9</f>
        <v/>
      </c>
      <c r="H38" s="11" t="n">
        <v>0</v>
      </c>
      <c r="I38" s="11" t="n">
        <v>4</v>
      </c>
      <c r="J38" s="11" t="n">
        <v>1</v>
      </c>
      <c r="K38" s="12" t="n">
        <v>0</v>
      </c>
      <c r="L38" s="12" t="n">
        <v>3</v>
      </c>
      <c r="M38" s="12" t="n">
        <v>0</v>
      </c>
      <c r="N38" s="12" t="n"/>
      <c r="O38" s="12" t="n"/>
      <c r="P38" s="12" t="n"/>
      <c r="Q38" s="12" t="n"/>
      <c r="R38" s="9">
        <f>IF(N38="",0,(2*INDEX(Houses!$D$2:$D$18,MATCH(N38,Houses!$A$2:$A$18,0))+Params!$B$57)/IF(O38="",1,INDEX(People!$D$2:$D$7,MATCH(O38,People!$A$2:$A$7,0))))</f>
        <v/>
      </c>
      <c r="S38" s="9">
        <f>IF(P38="",0,(2*INDEX(Houses!$D$2:$D$18,MATCH(P38,Houses!$A$2:$A$18,0))+Params!$B$57)/IF(Q38="",1,INDEX(People!$D$2:$D$7,MATCH(Q38,People!$A$2:$A$7,0))))</f>
        <v/>
      </c>
      <c r="T38" s="8">
        <f>IF(AND(N38="",P38=""),"",IF(MAX(R38,S38)&lt;=D38,"ok","DARK"))</f>
        <v/>
      </c>
      <c r="U38" s="9">
        <f>H38+I38+J38+K38*Params!$B$32+L38*Params!$B$34+M38*Params!$B$37+R38+S38</f>
        <v/>
      </c>
      <c r="V38" s="9">
        <f>G38-U38</f>
        <v/>
      </c>
      <c r="W38" s="9">
        <f>D38*E38-(H38+R38+S38)</f>
        <v/>
      </c>
      <c r="X38" s="12" t="n">
        <v>1</v>
      </c>
      <c r="Y38" s="8">
        <f>IF(N38="",0,IF(O38="",8,INDEX(People!$E$2:$E$7,MATCH(O38,People!$A$2:$A$7,0))))</f>
        <v/>
      </c>
      <c r="Z38" s="8">
        <f>IF(N38="",0,MAX(0,MIN(INDEX(Houses!$E$2:$E$18,MATCH(N38,Houses!$A$2:$A$18,0))-IF(INDEX(Houses!$H$2:$H$18,MATCH(N38,Houses!$A$2:$A$18,0))=1,SUMIF($N$8:N37,N38,$Z$8:Z37)+SUMIF($P$8:P37,N38,$AD$8:AD37),0),Y38)))</f>
        <v/>
      </c>
      <c r="AA38" s="8">
        <f>IF(N38="",0,MAX(0,MIN(INDEX(Houses!$F$2:$F$18,MATCH(N38,Houses!$A$2:$A$18,0))-IF(INDEX(Houses!$H$2:$H$18,MATCH(N38,Houses!$A$2:$A$18,0))=1,SUMIF($N$8:N37,N38,$AA$8:AA37)+SUMIF($P$8:P37,N38,$AE$8:AE37),0),INT((Y38-Z38)/2))))</f>
        <v/>
      </c>
      <c r="AB38" s="8">
        <f>IF(N38="",0,MAX(0,INDEX(Houses!$G$2:$G$18,MATCH(N38,Houses!$A$2:$A$18,0))-IF(INDEX(Houses!$H$2:$H$18,MATCH(N38,Houses!$A$2:$A$18,0))=1,SUMIF($N$8:N37,N38,$AB$8:AB37)+SUMIF($P$8:P37,N38,$AF$8:AF37),0)))</f>
        <v/>
      </c>
      <c r="AC38" s="8">
        <f>IF(P38="",0,IF(Q38="",8,INDEX(People!$E$2:$E$7,MATCH(Q38,People!$A$2:$A$7,0))))</f>
        <v/>
      </c>
      <c r="AD38" s="8">
        <f>IF(P38="",0,MAX(0,MIN(INDEX(Houses!$E$2:$E$18,MATCH(P38,Houses!$A$2:$A$18,0))-IF(INDEX(Houses!$H$2:$H$18,MATCH(P38,Houses!$A$2:$A$18,0))=1,SUMIF($P$8:P37,P38,$AD$8:AD37)+SUMIF($N$8:N37,P38,$Z$8:Z37)+IF(N38=P38,Z38,0),0),AC38)))</f>
        <v/>
      </c>
      <c r="AE38" s="8">
        <f>IF(P38="",0,MAX(0,MIN(INDEX(Houses!$F$2:$F$18,MATCH(P38,Houses!$A$2:$A$18,0))-IF(INDEX(Houses!$H$2:$H$18,MATCH(P38,Houses!$A$2:$A$18,0))=1,SUMIF($P$8:P37,P38,$AE$8:AE37)+SUMIF($N$8:N37,P38,$AA$8:AA37)+IF(N38=P38,AA38,0),0),INT((AC38-AD38)/2))))</f>
        <v/>
      </c>
      <c r="AF38" s="8">
        <f>IF(P38="",0,MAX(0,INDEX(Houses!$G$2:$G$18,MATCH(P38,Houses!$A$2:$A$18,0))-IF(INDEX(Houses!$H$2:$H$18,MATCH(P38,Houses!$A$2:$A$18,0))=1,SUMIF($P$8:P37,P38,$AF$8:AF37)+SUMIF($N$8:N37,P38,$AB$8:AB37)+IF(N38=P38,AB38,0),0)))</f>
        <v/>
      </c>
      <c r="AG38" s="9">
        <f>AG37+H38*Params!$B$24*F38-I38*Params!$B$25-J38*Params!$B$27</f>
        <v/>
      </c>
      <c r="AH38" s="9">
        <f>AH37+I38*Params!$B$25*Params!$B$26-K38*Params!$B$31-L38*Params!$B$33-M38*Params!$B$36+AA38+AE38</f>
        <v/>
      </c>
      <c r="AI38" s="9">
        <f>AI37+J38*Params!$B$27*Params!$B$28-X38*Params!$B$43*24</f>
        <v/>
      </c>
      <c r="AJ38" s="9">
        <f>AJ37-E38*Params!$B$22+Z38+AD38</f>
        <v/>
      </c>
      <c r="AK38" s="8">
        <f>AK37+AB38+AF38</f>
        <v/>
      </c>
      <c r="AL38" s="8">
        <f>MAX(0,AL37-M38)</f>
        <v/>
      </c>
      <c r="AM38" s="8">
        <f>MAX(0,AT37-K38)</f>
        <v/>
      </c>
      <c r="AN38" s="9">
        <f>AQ37+L38*Params!$B$35</f>
        <v/>
      </c>
      <c r="AO38" s="8">
        <f>IF(C38=0,0,INDEX(Nights!$B$2:$B$31,C38))</f>
        <v/>
      </c>
      <c r="AP38" s="9">
        <f>AO38*Params!$B$51*Params!$B$50</f>
        <v/>
      </c>
      <c r="AQ38" s="9">
        <f>MAX(0,AN38-AP38)</f>
        <v/>
      </c>
      <c r="AR38" s="8">
        <f>INT((AS37+MAX(0,AP38-AN38))/Params!$B$30)</f>
        <v/>
      </c>
      <c r="AS38" s="9">
        <f>(AS37+MAX(0,AP38-AN38))-AR38*Params!$B$30</f>
        <v/>
      </c>
      <c r="AT38" s="8">
        <f>AM38+AR38</f>
        <v/>
      </c>
      <c r="AU38" s="8">
        <f>IF(AND(AO38&gt;0,OR(AM38+AL38&gt;0,AR38&gt;0)),"BREACH","")</f>
        <v/>
      </c>
      <c r="AV38" s="13">
        <f>Params!$B$40+IF(AI38&lt;0,0,X38)*Params!$B$41-(AM38+AL38)*Params!$B$42</f>
        <v/>
      </c>
      <c r="AW38" s="9">
        <f>MAX(0,MIN(100,AW37-IF(AV38&lt;Params!$B$44,(Params!$B$44-AV38)*Params!$B$45,0)-IF(AJ38&lt;0,Params!$B$54,0)-IF(AU38="BREACH",Params!$B$53,0)-IF(T38="DARK",Params!$B$55,0)))</f>
        <v/>
      </c>
      <c r="AX38" s="8">
        <f>IF(AW38&lt;=0,"DEAD",TRIM(IF(V38&lt;0,"OVERWORK ","")&amp;IF(W38&lt;0,"NO-DAYLIGHT ","")&amp;IF(AG38&lt;0,"NO-LOGS ","")&amp;IF(AH38&lt;0,"NO-BOARDS ","")&amp;IF(AI38&lt;0,"NO-FUEL ","")&amp;IF(AJ38&lt;0,"HUNGER ","")&amp;AU38&amp;" "&amp;IF(T38="DARK","DARK-TRIP ","")&amp;IF(AV38&lt;Params!$B$44,"COLD","")))</f>
        <v/>
      </c>
    </row>
    <row r="39">
      <c r="A39" s="7" t="n">
        <v>31</v>
      </c>
      <c r="B39" s="8">
        <f>IF(A39&lt;=Params!$B$5,"prep","night")</f>
        <v/>
      </c>
      <c r="C39" s="8">
        <f>MAX(0,A39-Params!$B$5)</f>
        <v/>
      </c>
      <c r="D39" s="9">
        <f>IF(A39&lt;=Params!$B$5,ROUND(Params!$B$7-(Params!$B$7-Params!$B$8)*(A39-1)/(Params!$B$5-1),1),0)</f>
        <v/>
      </c>
      <c r="E39" s="8">
        <f>COUNTIFS(People!$F$2:$F$7,"&lt;="&amp;A39,People!$F$2:$F$7,"&gt;0")</f>
        <v/>
      </c>
      <c r="F39" s="10">
        <f>IF(E39=0,1,SUMIFS(People!$C$2:$C$7,People!$F$2:$F$7,"&lt;="&amp;A39,People!$F$2:$F$7,"&gt;0")/E39)</f>
        <v/>
      </c>
      <c r="G39" s="9">
        <f>E39*Params!$B$9</f>
        <v/>
      </c>
      <c r="H39" s="11" t="n">
        <v>0</v>
      </c>
      <c r="I39" s="11" t="n">
        <v>0</v>
      </c>
      <c r="J39" s="11" t="n">
        <v>1</v>
      </c>
      <c r="K39" s="12" t="n">
        <v>0</v>
      </c>
      <c r="L39" s="12" t="n">
        <v>0</v>
      </c>
      <c r="M39" s="12" t="n">
        <v>0</v>
      </c>
      <c r="N39" s="12" t="n"/>
      <c r="O39" s="12" t="n"/>
      <c r="P39" s="12" t="n"/>
      <c r="Q39" s="12" t="n"/>
      <c r="R39" s="9">
        <f>IF(N39="",0,(2*INDEX(Houses!$D$2:$D$18,MATCH(N39,Houses!$A$2:$A$18,0))+Params!$B$57)/IF(O39="",1,INDEX(People!$D$2:$D$7,MATCH(O39,People!$A$2:$A$7,0))))</f>
        <v/>
      </c>
      <c r="S39" s="9">
        <f>IF(P39="",0,(2*INDEX(Houses!$D$2:$D$18,MATCH(P39,Houses!$A$2:$A$18,0))+Params!$B$57)/IF(Q39="",1,INDEX(People!$D$2:$D$7,MATCH(Q39,People!$A$2:$A$7,0))))</f>
        <v/>
      </c>
      <c r="T39" s="8">
        <f>IF(AND(N39="",P39=""),"",IF(MAX(R39,S39)&lt;=D39,"ok","DARK"))</f>
        <v/>
      </c>
      <c r="U39" s="9">
        <f>H39+I39+J39+K39*Params!$B$32+L39*Params!$B$34+M39*Params!$B$37+R39+S39</f>
        <v/>
      </c>
      <c r="V39" s="9">
        <f>G39-U39</f>
        <v/>
      </c>
      <c r="W39" s="9">
        <f>D39*E39-(H39+R39+S39)</f>
        <v/>
      </c>
      <c r="X39" s="12" t="n">
        <v>1</v>
      </c>
      <c r="Y39" s="8">
        <f>IF(N39="",0,IF(O39="",8,INDEX(People!$E$2:$E$7,MATCH(O39,People!$A$2:$A$7,0))))</f>
        <v/>
      </c>
      <c r="Z39" s="8">
        <f>IF(N39="",0,MAX(0,MIN(INDEX(Houses!$E$2:$E$18,MATCH(N39,Houses!$A$2:$A$18,0))-IF(INDEX(Houses!$H$2:$H$18,MATCH(N39,Houses!$A$2:$A$18,0))=1,SUMIF($N$8:N38,N39,$Z$8:Z38)+SUMIF($P$8:P38,N39,$AD$8:AD38),0),Y39)))</f>
        <v/>
      </c>
      <c r="AA39" s="8">
        <f>IF(N39="",0,MAX(0,MIN(INDEX(Houses!$F$2:$F$18,MATCH(N39,Houses!$A$2:$A$18,0))-IF(INDEX(Houses!$H$2:$H$18,MATCH(N39,Houses!$A$2:$A$18,0))=1,SUMIF($N$8:N38,N39,$AA$8:AA38)+SUMIF($P$8:P38,N39,$AE$8:AE38),0),INT((Y39-Z39)/2))))</f>
        <v/>
      </c>
      <c r="AB39" s="8">
        <f>IF(N39="",0,MAX(0,INDEX(Houses!$G$2:$G$18,MATCH(N39,Houses!$A$2:$A$18,0))-IF(INDEX(Houses!$H$2:$H$18,MATCH(N39,Houses!$A$2:$A$18,0))=1,SUMIF($N$8:N38,N39,$AB$8:AB38)+SUMIF($P$8:P38,N39,$AF$8:AF38),0)))</f>
        <v/>
      </c>
      <c r="AC39" s="8">
        <f>IF(P39="",0,IF(Q39="",8,INDEX(People!$E$2:$E$7,MATCH(Q39,People!$A$2:$A$7,0))))</f>
        <v/>
      </c>
      <c r="AD39" s="8">
        <f>IF(P39="",0,MAX(0,MIN(INDEX(Houses!$E$2:$E$18,MATCH(P39,Houses!$A$2:$A$18,0))-IF(INDEX(Houses!$H$2:$H$18,MATCH(P39,Houses!$A$2:$A$18,0))=1,SUMIF($P$8:P38,P39,$AD$8:AD38)+SUMIF($N$8:N38,P39,$Z$8:Z38)+IF(N39=P39,Z39,0),0),AC39)))</f>
        <v/>
      </c>
      <c r="AE39" s="8">
        <f>IF(P39="",0,MAX(0,MIN(INDEX(Houses!$F$2:$F$18,MATCH(P39,Houses!$A$2:$A$18,0))-IF(INDEX(Houses!$H$2:$H$18,MATCH(P39,Houses!$A$2:$A$18,0))=1,SUMIF($P$8:P38,P39,$AE$8:AE38)+SUMIF($N$8:N38,P39,$AA$8:AA38)+IF(N39=P39,AA39,0),0),INT((AC39-AD39)/2))))</f>
        <v/>
      </c>
      <c r="AF39" s="8">
        <f>IF(P39="",0,MAX(0,INDEX(Houses!$G$2:$G$18,MATCH(P39,Houses!$A$2:$A$18,0))-IF(INDEX(Houses!$H$2:$H$18,MATCH(P39,Houses!$A$2:$A$18,0))=1,SUMIF($P$8:P38,P39,$AF$8:AF38)+SUMIF($N$8:N38,P39,$AB$8:AB38)+IF(N39=P39,AB39,0),0)))</f>
        <v/>
      </c>
      <c r="AG39" s="9">
        <f>AG38+H39*Params!$B$24*F39-I39*Params!$B$25-J39*Params!$B$27</f>
        <v/>
      </c>
      <c r="AH39" s="9">
        <f>AH38+I39*Params!$B$25*Params!$B$26-K39*Params!$B$31-L39*Params!$B$33-M39*Params!$B$36+AA39+AE39</f>
        <v/>
      </c>
      <c r="AI39" s="9">
        <f>AI38+J39*Params!$B$27*Params!$B$28-X39*Params!$B$43*24</f>
        <v/>
      </c>
      <c r="AJ39" s="9">
        <f>AJ38-E39*Params!$B$22+Z39+AD39</f>
        <v/>
      </c>
      <c r="AK39" s="8">
        <f>AK38+AB39+AF39</f>
        <v/>
      </c>
      <c r="AL39" s="8">
        <f>MAX(0,AL38-M39)</f>
        <v/>
      </c>
      <c r="AM39" s="8">
        <f>MAX(0,AT38-K39)</f>
        <v/>
      </c>
      <c r="AN39" s="9">
        <f>AQ38+L39*Params!$B$35</f>
        <v/>
      </c>
      <c r="AO39" s="8">
        <f>IF(C39=0,0,INDEX(Nights!$B$2:$B$31,C39))</f>
        <v/>
      </c>
      <c r="AP39" s="9">
        <f>AO39*Params!$B$51*Params!$B$50</f>
        <v/>
      </c>
      <c r="AQ39" s="9">
        <f>MAX(0,AN39-AP39)</f>
        <v/>
      </c>
      <c r="AR39" s="8">
        <f>INT((AS38+MAX(0,AP39-AN39))/Params!$B$30)</f>
        <v/>
      </c>
      <c r="AS39" s="9">
        <f>(AS38+MAX(0,AP39-AN39))-AR39*Params!$B$30</f>
        <v/>
      </c>
      <c r="AT39" s="8">
        <f>AM39+AR39</f>
        <v/>
      </c>
      <c r="AU39" s="8">
        <f>IF(AND(AO39&gt;0,OR(AM39+AL39&gt;0,AR39&gt;0)),"BREACH","")</f>
        <v/>
      </c>
      <c r="AV39" s="13">
        <f>Params!$B$40+IF(AI39&lt;0,0,X39)*Params!$B$41-(AM39+AL39)*Params!$B$42</f>
        <v/>
      </c>
      <c r="AW39" s="9">
        <f>MAX(0,MIN(100,AW38-IF(AV39&lt;Params!$B$44,(Params!$B$44-AV39)*Params!$B$45,0)-IF(AJ39&lt;0,Params!$B$54,0)-IF(AU39="BREACH",Params!$B$53,0)-IF(T39="DARK",Params!$B$55,0)))</f>
        <v/>
      </c>
      <c r="AX39" s="8">
        <f>IF(AW39&lt;=0,"DEAD",TRIM(IF(V39&lt;0,"OVERWORK ","")&amp;IF(W39&lt;0,"NO-DAYLIGHT ","")&amp;IF(AG39&lt;0,"NO-LOGS ","")&amp;IF(AH39&lt;0,"NO-BOARDS ","")&amp;IF(AI39&lt;0,"NO-FUEL ","")&amp;IF(AJ39&lt;0,"HUNGER ","")&amp;AU39&amp;" "&amp;IF(T39="DARK","DARK-TRIP ","")&amp;IF(AV39&lt;Params!$B$44,"COLD","")))</f>
        <v/>
      </c>
    </row>
    <row r="40">
      <c r="A40" s="7" t="n">
        <v>32</v>
      </c>
      <c r="B40" s="8">
        <f>IF(A40&lt;=Params!$B$5,"prep","night")</f>
        <v/>
      </c>
      <c r="C40" s="8">
        <f>MAX(0,A40-Params!$B$5)</f>
        <v/>
      </c>
      <c r="D40" s="9">
        <f>IF(A40&lt;=Params!$B$5,ROUND(Params!$B$7-(Params!$B$7-Params!$B$8)*(A40-1)/(Params!$B$5-1),1),0)</f>
        <v/>
      </c>
      <c r="E40" s="8">
        <f>COUNTIFS(People!$F$2:$F$7,"&lt;="&amp;A40,People!$F$2:$F$7,"&gt;0")</f>
        <v/>
      </c>
      <c r="F40" s="10">
        <f>IF(E40=0,1,SUMIFS(People!$C$2:$C$7,People!$F$2:$F$7,"&lt;="&amp;A40,People!$F$2:$F$7,"&gt;0")/E40)</f>
        <v/>
      </c>
      <c r="G40" s="9">
        <f>E40*Params!$B$9</f>
        <v/>
      </c>
      <c r="H40" s="11" t="n">
        <v>0</v>
      </c>
      <c r="I40" s="11" t="n">
        <v>6</v>
      </c>
      <c r="J40" s="11" t="n">
        <v>2</v>
      </c>
      <c r="K40" s="12" t="n">
        <v>0</v>
      </c>
      <c r="L40" s="12" t="n">
        <v>4</v>
      </c>
      <c r="M40" s="12" t="n">
        <v>0</v>
      </c>
      <c r="N40" s="12" t="n"/>
      <c r="O40" s="12" t="n"/>
      <c r="P40" s="12" t="n"/>
      <c r="Q40" s="12" t="n"/>
      <c r="R40" s="9">
        <f>IF(N40="",0,(2*INDEX(Houses!$D$2:$D$18,MATCH(N40,Houses!$A$2:$A$18,0))+Params!$B$57)/IF(O40="",1,INDEX(People!$D$2:$D$7,MATCH(O40,People!$A$2:$A$7,0))))</f>
        <v/>
      </c>
      <c r="S40" s="9">
        <f>IF(P40="",0,(2*INDEX(Houses!$D$2:$D$18,MATCH(P40,Houses!$A$2:$A$18,0))+Params!$B$57)/IF(Q40="",1,INDEX(People!$D$2:$D$7,MATCH(Q40,People!$A$2:$A$7,0))))</f>
        <v/>
      </c>
      <c r="T40" s="8">
        <f>IF(AND(N40="",P40=""),"",IF(MAX(R40,S40)&lt;=D40,"ok","DARK"))</f>
        <v/>
      </c>
      <c r="U40" s="9">
        <f>H40+I40+J40+K40*Params!$B$32+L40*Params!$B$34+M40*Params!$B$37+R40+S40</f>
        <v/>
      </c>
      <c r="V40" s="9">
        <f>G40-U40</f>
        <v/>
      </c>
      <c r="W40" s="9">
        <f>D40*E40-(H40+R40+S40)</f>
        <v/>
      </c>
      <c r="X40" s="12" t="n">
        <v>1</v>
      </c>
      <c r="Y40" s="8">
        <f>IF(N40="",0,IF(O40="",8,INDEX(People!$E$2:$E$7,MATCH(O40,People!$A$2:$A$7,0))))</f>
        <v/>
      </c>
      <c r="Z40" s="8">
        <f>IF(N40="",0,MAX(0,MIN(INDEX(Houses!$E$2:$E$18,MATCH(N40,Houses!$A$2:$A$18,0))-IF(INDEX(Houses!$H$2:$H$18,MATCH(N40,Houses!$A$2:$A$18,0))=1,SUMIF($N$8:N39,N40,$Z$8:Z39)+SUMIF($P$8:P39,N40,$AD$8:AD39),0),Y40)))</f>
        <v/>
      </c>
      <c r="AA40" s="8">
        <f>IF(N40="",0,MAX(0,MIN(INDEX(Houses!$F$2:$F$18,MATCH(N40,Houses!$A$2:$A$18,0))-IF(INDEX(Houses!$H$2:$H$18,MATCH(N40,Houses!$A$2:$A$18,0))=1,SUMIF($N$8:N39,N40,$AA$8:AA39)+SUMIF($P$8:P39,N40,$AE$8:AE39),0),INT((Y40-Z40)/2))))</f>
        <v/>
      </c>
      <c r="AB40" s="8">
        <f>IF(N40="",0,MAX(0,INDEX(Houses!$G$2:$G$18,MATCH(N40,Houses!$A$2:$A$18,0))-IF(INDEX(Houses!$H$2:$H$18,MATCH(N40,Houses!$A$2:$A$18,0))=1,SUMIF($N$8:N39,N40,$AB$8:AB39)+SUMIF($P$8:P39,N40,$AF$8:AF39),0)))</f>
        <v/>
      </c>
      <c r="AC40" s="8">
        <f>IF(P40="",0,IF(Q40="",8,INDEX(People!$E$2:$E$7,MATCH(Q40,People!$A$2:$A$7,0))))</f>
        <v/>
      </c>
      <c r="AD40" s="8">
        <f>IF(P40="",0,MAX(0,MIN(INDEX(Houses!$E$2:$E$18,MATCH(P40,Houses!$A$2:$A$18,0))-IF(INDEX(Houses!$H$2:$H$18,MATCH(P40,Houses!$A$2:$A$18,0))=1,SUMIF($P$8:P39,P40,$AD$8:AD39)+SUMIF($N$8:N39,P40,$Z$8:Z39)+IF(N40=P40,Z40,0),0),AC40)))</f>
        <v/>
      </c>
      <c r="AE40" s="8">
        <f>IF(P40="",0,MAX(0,MIN(INDEX(Houses!$F$2:$F$18,MATCH(P40,Houses!$A$2:$A$18,0))-IF(INDEX(Houses!$H$2:$H$18,MATCH(P40,Houses!$A$2:$A$18,0))=1,SUMIF($P$8:P39,P40,$AE$8:AE39)+SUMIF($N$8:N39,P40,$AA$8:AA39)+IF(N40=P40,AA40,0),0),INT((AC40-AD40)/2))))</f>
        <v/>
      </c>
      <c r="AF40" s="8">
        <f>IF(P40="",0,MAX(0,INDEX(Houses!$G$2:$G$18,MATCH(P40,Houses!$A$2:$A$18,0))-IF(INDEX(Houses!$H$2:$H$18,MATCH(P40,Houses!$A$2:$A$18,0))=1,SUMIF($P$8:P39,P40,$AF$8:AF39)+SUMIF($N$8:N39,P40,$AB$8:AB39)+IF(N40=P40,AB40,0),0)))</f>
        <v/>
      </c>
      <c r="AG40" s="9">
        <f>AG39+H40*Params!$B$24*F40-I40*Params!$B$25-J40*Params!$B$27</f>
        <v/>
      </c>
      <c r="AH40" s="9">
        <f>AH39+I40*Params!$B$25*Params!$B$26-K40*Params!$B$31-L40*Params!$B$33-M40*Params!$B$36+AA40+AE40</f>
        <v/>
      </c>
      <c r="AI40" s="9">
        <f>AI39+J40*Params!$B$27*Params!$B$28-X40*Params!$B$43*24</f>
        <v/>
      </c>
      <c r="AJ40" s="9">
        <f>AJ39-E40*Params!$B$22+Z40+AD40</f>
        <v/>
      </c>
      <c r="AK40" s="8">
        <f>AK39+AB40+AF40</f>
        <v/>
      </c>
      <c r="AL40" s="8">
        <f>MAX(0,AL39-M40)</f>
        <v/>
      </c>
      <c r="AM40" s="8">
        <f>MAX(0,AT39-K40)</f>
        <v/>
      </c>
      <c r="AN40" s="9">
        <f>AQ39+L40*Params!$B$35</f>
        <v/>
      </c>
      <c r="AO40" s="8">
        <f>IF(C40=0,0,INDEX(Nights!$B$2:$B$31,C40))</f>
        <v/>
      </c>
      <c r="AP40" s="9">
        <f>AO40*Params!$B$51*Params!$B$50</f>
        <v/>
      </c>
      <c r="AQ40" s="9">
        <f>MAX(0,AN40-AP40)</f>
        <v/>
      </c>
      <c r="AR40" s="8">
        <f>INT((AS39+MAX(0,AP40-AN40))/Params!$B$30)</f>
        <v/>
      </c>
      <c r="AS40" s="9">
        <f>(AS39+MAX(0,AP40-AN40))-AR40*Params!$B$30</f>
        <v/>
      </c>
      <c r="AT40" s="8">
        <f>AM40+AR40</f>
        <v/>
      </c>
      <c r="AU40" s="8">
        <f>IF(AND(AO40&gt;0,OR(AM40+AL40&gt;0,AR40&gt;0)),"BREACH","")</f>
        <v/>
      </c>
      <c r="AV40" s="13">
        <f>Params!$B$40+IF(AI40&lt;0,0,X40)*Params!$B$41-(AM40+AL40)*Params!$B$42</f>
        <v/>
      </c>
      <c r="AW40" s="9">
        <f>MAX(0,MIN(100,AW39-IF(AV40&lt;Params!$B$44,(Params!$B$44-AV40)*Params!$B$45,0)-IF(AJ40&lt;0,Params!$B$54,0)-IF(AU40="BREACH",Params!$B$53,0)-IF(T40="DARK",Params!$B$55,0)))</f>
        <v/>
      </c>
      <c r="AX40" s="8">
        <f>IF(AW40&lt;=0,"DEAD",TRIM(IF(V40&lt;0,"OVERWORK ","")&amp;IF(W40&lt;0,"NO-DAYLIGHT ","")&amp;IF(AG40&lt;0,"NO-LOGS ","")&amp;IF(AH40&lt;0,"NO-BOARDS ","")&amp;IF(AI40&lt;0,"NO-FUEL ","")&amp;IF(AJ40&lt;0,"HUNGER ","")&amp;AU40&amp;" "&amp;IF(T40="DARK","DARK-TRIP ","")&amp;IF(AV40&lt;Params!$B$44,"COLD","")))</f>
        <v/>
      </c>
    </row>
    <row r="41">
      <c r="A41" s="7" t="n">
        <v>33</v>
      </c>
      <c r="B41" s="8">
        <f>IF(A41&lt;=Params!$B$5,"prep","night")</f>
        <v/>
      </c>
      <c r="C41" s="8">
        <f>MAX(0,A41-Params!$B$5)</f>
        <v/>
      </c>
      <c r="D41" s="9">
        <f>IF(A41&lt;=Params!$B$5,ROUND(Params!$B$7-(Params!$B$7-Params!$B$8)*(A41-1)/(Params!$B$5-1),1),0)</f>
        <v/>
      </c>
      <c r="E41" s="8">
        <f>COUNTIFS(People!$F$2:$F$7,"&lt;="&amp;A41,People!$F$2:$F$7,"&gt;0")</f>
        <v/>
      </c>
      <c r="F41" s="10">
        <f>IF(E41=0,1,SUMIFS(People!$C$2:$C$7,People!$F$2:$F$7,"&lt;="&amp;A41,People!$F$2:$F$7,"&gt;0")/E41)</f>
        <v/>
      </c>
      <c r="G41" s="9">
        <f>E41*Params!$B$9</f>
        <v/>
      </c>
      <c r="H41" s="11" t="n">
        <v>0</v>
      </c>
      <c r="I41" s="11" t="n">
        <v>5</v>
      </c>
      <c r="J41" s="11" t="n">
        <v>1</v>
      </c>
      <c r="K41" s="12" t="n">
        <v>0</v>
      </c>
      <c r="L41" s="12" t="n">
        <v>3</v>
      </c>
      <c r="M41" s="12" t="n">
        <v>0</v>
      </c>
      <c r="N41" s="12" t="n"/>
      <c r="O41" s="12" t="n"/>
      <c r="P41" s="12" t="n"/>
      <c r="Q41" s="12" t="n"/>
      <c r="R41" s="9">
        <f>IF(N41="",0,(2*INDEX(Houses!$D$2:$D$18,MATCH(N41,Houses!$A$2:$A$18,0))+Params!$B$57)/IF(O41="",1,INDEX(People!$D$2:$D$7,MATCH(O41,People!$A$2:$A$7,0))))</f>
        <v/>
      </c>
      <c r="S41" s="9">
        <f>IF(P41="",0,(2*INDEX(Houses!$D$2:$D$18,MATCH(P41,Houses!$A$2:$A$18,0))+Params!$B$57)/IF(Q41="",1,INDEX(People!$D$2:$D$7,MATCH(Q41,People!$A$2:$A$7,0))))</f>
        <v/>
      </c>
      <c r="T41" s="8">
        <f>IF(AND(N41="",P41=""),"",IF(MAX(R41,S41)&lt;=D41,"ok","DARK"))</f>
        <v/>
      </c>
      <c r="U41" s="9">
        <f>H41+I41+J41+K41*Params!$B$32+L41*Params!$B$34+M41*Params!$B$37+R41+S41</f>
        <v/>
      </c>
      <c r="V41" s="9">
        <f>G41-U41</f>
        <v/>
      </c>
      <c r="W41" s="9">
        <f>D41*E41-(H41+R41+S41)</f>
        <v/>
      </c>
      <c r="X41" s="12" t="n">
        <v>1</v>
      </c>
      <c r="Y41" s="8">
        <f>IF(N41="",0,IF(O41="",8,INDEX(People!$E$2:$E$7,MATCH(O41,People!$A$2:$A$7,0))))</f>
        <v/>
      </c>
      <c r="Z41" s="8">
        <f>IF(N41="",0,MAX(0,MIN(INDEX(Houses!$E$2:$E$18,MATCH(N41,Houses!$A$2:$A$18,0))-IF(INDEX(Houses!$H$2:$H$18,MATCH(N41,Houses!$A$2:$A$18,0))=1,SUMIF($N$8:N40,N41,$Z$8:Z40)+SUMIF($P$8:P40,N41,$AD$8:AD40),0),Y41)))</f>
        <v/>
      </c>
      <c r="AA41" s="8">
        <f>IF(N41="",0,MAX(0,MIN(INDEX(Houses!$F$2:$F$18,MATCH(N41,Houses!$A$2:$A$18,0))-IF(INDEX(Houses!$H$2:$H$18,MATCH(N41,Houses!$A$2:$A$18,0))=1,SUMIF($N$8:N40,N41,$AA$8:AA40)+SUMIF($P$8:P40,N41,$AE$8:AE40),0),INT((Y41-Z41)/2))))</f>
        <v/>
      </c>
      <c r="AB41" s="8">
        <f>IF(N41="",0,MAX(0,INDEX(Houses!$G$2:$G$18,MATCH(N41,Houses!$A$2:$A$18,0))-IF(INDEX(Houses!$H$2:$H$18,MATCH(N41,Houses!$A$2:$A$18,0))=1,SUMIF($N$8:N40,N41,$AB$8:AB40)+SUMIF($P$8:P40,N41,$AF$8:AF40),0)))</f>
        <v/>
      </c>
      <c r="AC41" s="8">
        <f>IF(P41="",0,IF(Q41="",8,INDEX(People!$E$2:$E$7,MATCH(Q41,People!$A$2:$A$7,0))))</f>
        <v/>
      </c>
      <c r="AD41" s="8">
        <f>IF(P41="",0,MAX(0,MIN(INDEX(Houses!$E$2:$E$18,MATCH(P41,Houses!$A$2:$A$18,0))-IF(INDEX(Houses!$H$2:$H$18,MATCH(P41,Houses!$A$2:$A$18,0))=1,SUMIF($P$8:P40,P41,$AD$8:AD40)+SUMIF($N$8:N40,P41,$Z$8:Z40)+IF(N41=P41,Z41,0),0),AC41)))</f>
        <v/>
      </c>
      <c r="AE41" s="8">
        <f>IF(P41="",0,MAX(0,MIN(INDEX(Houses!$F$2:$F$18,MATCH(P41,Houses!$A$2:$A$18,0))-IF(INDEX(Houses!$H$2:$H$18,MATCH(P41,Houses!$A$2:$A$18,0))=1,SUMIF($P$8:P40,P41,$AE$8:AE40)+SUMIF($N$8:N40,P41,$AA$8:AA40)+IF(N41=P41,AA41,0),0),INT((AC41-AD41)/2))))</f>
        <v/>
      </c>
      <c r="AF41" s="8">
        <f>IF(P41="",0,MAX(0,INDEX(Houses!$G$2:$G$18,MATCH(P41,Houses!$A$2:$A$18,0))-IF(INDEX(Houses!$H$2:$H$18,MATCH(P41,Houses!$A$2:$A$18,0))=1,SUMIF($P$8:P40,P41,$AF$8:AF40)+SUMIF($N$8:N40,P41,$AB$8:AB40)+IF(N41=P41,AB41,0),0)))</f>
        <v/>
      </c>
      <c r="AG41" s="9">
        <f>AG40+H41*Params!$B$24*F41-I41*Params!$B$25-J41*Params!$B$27</f>
        <v/>
      </c>
      <c r="AH41" s="9">
        <f>AH40+I41*Params!$B$25*Params!$B$26-K41*Params!$B$31-L41*Params!$B$33-M41*Params!$B$36+AA41+AE41</f>
        <v/>
      </c>
      <c r="AI41" s="9">
        <f>AI40+J41*Params!$B$27*Params!$B$28-X41*Params!$B$43*24</f>
        <v/>
      </c>
      <c r="AJ41" s="9">
        <f>AJ40-E41*Params!$B$22+Z41+AD41</f>
        <v/>
      </c>
      <c r="AK41" s="8">
        <f>AK40+AB41+AF41</f>
        <v/>
      </c>
      <c r="AL41" s="8">
        <f>MAX(0,AL40-M41)</f>
        <v/>
      </c>
      <c r="AM41" s="8">
        <f>MAX(0,AT40-K41)</f>
        <v/>
      </c>
      <c r="AN41" s="9">
        <f>AQ40+L41*Params!$B$35</f>
        <v/>
      </c>
      <c r="AO41" s="8">
        <f>IF(C41=0,0,INDEX(Nights!$B$2:$B$31,C41))</f>
        <v/>
      </c>
      <c r="AP41" s="9">
        <f>AO41*Params!$B$51*Params!$B$50</f>
        <v/>
      </c>
      <c r="AQ41" s="9">
        <f>MAX(0,AN41-AP41)</f>
        <v/>
      </c>
      <c r="AR41" s="8">
        <f>INT((AS40+MAX(0,AP41-AN41))/Params!$B$30)</f>
        <v/>
      </c>
      <c r="AS41" s="9">
        <f>(AS40+MAX(0,AP41-AN41))-AR41*Params!$B$30</f>
        <v/>
      </c>
      <c r="AT41" s="8">
        <f>AM41+AR41</f>
        <v/>
      </c>
      <c r="AU41" s="8">
        <f>IF(AND(AO41&gt;0,OR(AM41+AL41&gt;0,AR41&gt;0)),"BREACH","")</f>
        <v/>
      </c>
      <c r="AV41" s="13">
        <f>Params!$B$40+IF(AI41&lt;0,0,X41)*Params!$B$41-(AM41+AL41)*Params!$B$42</f>
        <v/>
      </c>
      <c r="AW41" s="9">
        <f>MAX(0,MIN(100,AW40-IF(AV41&lt;Params!$B$44,(Params!$B$44-AV41)*Params!$B$45,0)-IF(AJ41&lt;0,Params!$B$54,0)-IF(AU41="BREACH",Params!$B$53,0)-IF(T41="DARK",Params!$B$55,0)))</f>
        <v/>
      </c>
      <c r="AX41" s="8">
        <f>IF(AW41&lt;=0,"DEAD",TRIM(IF(V41&lt;0,"OVERWORK ","")&amp;IF(W41&lt;0,"NO-DAYLIGHT ","")&amp;IF(AG41&lt;0,"NO-LOGS ","")&amp;IF(AH41&lt;0,"NO-BOARDS ","")&amp;IF(AI41&lt;0,"NO-FUEL ","")&amp;IF(AJ41&lt;0,"HUNGER ","")&amp;AU41&amp;" "&amp;IF(T41="DARK","DARK-TRIP ","")&amp;IF(AV41&lt;Params!$B$44,"COLD","")))</f>
        <v/>
      </c>
    </row>
    <row r="42">
      <c r="A42" s="7" t="n">
        <v>34</v>
      </c>
      <c r="B42" s="8">
        <f>IF(A42&lt;=Params!$B$5,"prep","night")</f>
        <v/>
      </c>
      <c r="C42" s="8">
        <f>MAX(0,A42-Params!$B$5)</f>
        <v/>
      </c>
      <c r="D42" s="9">
        <f>IF(A42&lt;=Params!$B$5,ROUND(Params!$B$7-(Params!$B$7-Params!$B$8)*(A42-1)/(Params!$B$5-1),1),0)</f>
        <v/>
      </c>
      <c r="E42" s="8">
        <f>COUNTIFS(People!$F$2:$F$7,"&lt;="&amp;A42,People!$F$2:$F$7,"&gt;0")</f>
        <v/>
      </c>
      <c r="F42" s="10">
        <f>IF(E42=0,1,SUMIFS(People!$C$2:$C$7,People!$F$2:$F$7,"&lt;="&amp;A42,People!$F$2:$F$7,"&gt;0")/E42)</f>
        <v/>
      </c>
      <c r="G42" s="9">
        <f>E42*Params!$B$9</f>
        <v/>
      </c>
      <c r="H42" s="11" t="n">
        <v>0</v>
      </c>
      <c r="I42" s="11" t="n">
        <v>0</v>
      </c>
      <c r="J42" s="11" t="n">
        <v>1</v>
      </c>
      <c r="K42" s="12" t="n">
        <v>0</v>
      </c>
      <c r="L42" s="12" t="n">
        <v>0</v>
      </c>
      <c r="M42" s="12" t="n">
        <v>0</v>
      </c>
      <c r="N42" s="12" t="n"/>
      <c r="O42" s="12" t="n"/>
      <c r="P42" s="12" t="n"/>
      <c r="Q42" s="12" t="n"/>
      <c r="R42" s="9">
        <f>IF(N42="",0,(2*INDEX(Houses!$D$2:$D$18,MATCH(N42,Houses!$A$2:$A$18,0))+Params!$B$57)/IF(O42="",1,INDEX(People!$D$2:$D$7,MATCH(O42,People!$A$2:$A$7,0))))</f>
        <v/>
      </c>
      <c r="S42" s="9">
        <f>IF(P42="",0,(2*INDEX(Houses!$D$2:$D$18,MATCH(P42,Houses!$A$2:$A$18,0))+Params!$B$57)/IF(Q42="",1,INDEX(People!$D$2:$D$7,MATCH(Q42,People!$A$2:$A$7,0))))</f>
        <v/>
      </c>
      <c r="T42" s="8">
        <f>IF(AND(N42="",P42=""),"",IF(MAX(R42,S42)&lt;=D42,"ok","DARK"))</f>
        <v/>
      </c>
      <c r="U42" s="9">
        <f>H42+I42+J42+K42*Params!$B$32+L42*Params!$B$34+M42*Params!$B$37+R42+S42</f>
        <v/>
      </c>
      <c r="V42" s="9">
        <f>G42-U42</f>
        <v/>
      </c>
      <c r="W42" s="9">
        <f>D42*E42-(H42+R42+S42)</f>
        <v/>
      </c>
      <c r="X42" s="12" t="n">
        <v>1</v>
      </c>
      <c r="Y42" s="8">
        <f>IF(N42="",0,IF(O42="",8,INDEX(People!$E$2:$E$7,MATCH(O42,People!$A$2:$A$7,0))))</f>
        <v/>
      </c>
      <c r="Z42" s="8">
        <f>IF(N42="",0,MAX(0,MIN(INDEX(Houses!$E$2:$E$18,MATCH(N42,Houses!$A$2:$A$18,0))-IF(INDEX(Houses!$H$2:$H$18,MATCH(N42,Houses!$A$2:$A$18,0))=1,SUMIF($N$8:N41,N42,$Z$8:Z41)+SUMIF($P$8:P41,N42,$AD$8:AD41),0),Y42)))</f>
        <v/>
      </c>
      <c r="AA42" s="8">
        <f>IF(N42="",0,MAX(0,MIN(INDEX(Houses!$F$2:$F$18,MATCH(N42,Houses!$A$2:$A$18,0))-IF(INDEX(Houses!$H$2:$H$18,MATCH(N42,Houses!$A$2:$A$18,0))=1,SUMIF($N$8:N41,N42,$AA$8:AA41)+SUMIF($P$8:P41,N42,$AE$8:AE41),0),INT((Y42-Z42)/2))))</f>
        <v/>
      </c>
      <c r="AB42" s="8">
        <f>IF(N42="",0,MAX(0,INDEX(Houses!$G$2:$G$18,MATCH(N42,Houses!$A$2:$A$18,0))-IF(INDEX(Houses!$H$2:$H$18,MATCH(N42,Houses!$A$2:$A$18,0))=1,SUMIF($N$8:N41,N42,$AB$8:AB41)+SUMIF($P$8:P41,N42,$AF$8:AF41),0)))</f>
        <v/>
      </c>
      <c r="AC42" s="8">
        <f>IF(P42="",0,IF(Q42="",8,INDEX(People!$E$2:$E$7,MATCH(Q42,People!$A$2:$A$7,0))))</f>
        <v/>
      </c>
      <c r="AD42" s="8">
        <f>IF(P42="",0,MAX(0,MIN(INDEX(Houses!$E$2:$E$18,MATCH(P42,Houses!$A$2:$A$18,0))-IF(INDEX(Houses!$H$2:$H$18,MATCH(P42,Houses!$A$2:$A$18,0))=1,SUMIF($P$8:P41,P42,$AD$8:AD41)+SUMIF($N$8:N41,P42,$Z$8:Z41)+IF(N42=P42,Z42,0),0),AC42)))</f>
        <v/>
      </c>
      <c r="AE42" s="8">
        <f>IF(P42="",0,MAX(0,MIN(INDEX(Houses!$F$2:$F$18,MATCH(P42,Houses!$A$2:$A$18,0))-IF(INDEX(Houses!$H$2:$H$18,MATCH(P42,Houses!$A$2:$A$18,0))=1,SUMIF($P$8:P41,P42,$AE$8:AE41)+SUMIF($N$8:N41,P42,$AA$8:AA41)+IF(N42=P42,AA42,0),0),INT((AC42-AD42)/2))))</f>
        <v/>
      </c>
      <c r="AF42" s="8">
        <f>IF(P42="",0,MAX(0,INDEX(Houses!$G$2:$G$18,MATCH(P42,Houses!$A$2:$A$18,0))-IF(INDEX(Houses!$H$2:$H$18,MATCH(P42,Houses!$A$2:$A$18,0))=1,SUMIF($P$8:P41,P42,$AF$8:AF41)+SUMIF($N$8:N41,P42,$AB$8:AB41)+IF(N42=P42,AB42,0),0)))</f>
        <v/>
      </c>
      <c r="AG42" s="9">
        <f>AG41+H42*Params!$B$24*F42-I42*Params!$B$25-J42*Params!$B$27</f>
        <v/>
      </c>
      <c r="AH42" s="9">
        <f>AH41+I42*Params!$B$25*Params!$B$26-K42*Params!$B$31-L42*Params!$B$33-M42*Params!$B$36+AA42+AE42</f>
        <v/>
      </c>
      <c r="AI42" s="9">
        <f>AI41+J42*Params!$B$27*Params!$B$28-X42*Params!$B$43*24</f>
        <v/>
      </c>
      <c r="AJ42" s="9">
        <f>AJ41-E42*Params!$B$22+Z42+AD42</f>
        <v/>
      </c>
      <c r="AK42" s="8">
        <f>AK41+AB42+AF42</f>
        <v/>
      </c>
      <c r="AL42" s="8">
        <f>MAX(0,AL41-M42)</f>
        <v/>
      </c>
      <c r="AM42" s="8">
        <f>MAX(0,AT41-K42)</f>
        <v/>
      </c>
      <c r="AN42" s="9">
        <f>AQ41+L42*Params!$B$35</f>
        <v/>
      </c>
      <c r="AO42" s="8">
        <f>IF(C42=0,0,INDEX(Nights!$B$2:$B$31,C42))</f>
        <v/>
      </c>
      <c r="AP42" s="9">
        <f>AO42*Params!$B$51*Params!$B$50</f>
        <v/>
      </c>
      <c r="AQ42" s="9">
        <f>MAX(0,AN42-AP42)</f>
        <v/>
      </c>
      <c r="AR42" s="8">
        <f>INT((AS41+MAX(0,AP42-AN42))/Params!$B$30)</f>
        <v/>
      </c>
      <c r="AS42" s="9">
        <f>(AS41+MAX(0,AP42-AN42))-AR42*Params!$B$30</f>
        <v/>
      </c>
      <c r="AT42" s="8">
        <f>AM42+AR42</f>
        <v/>
      </c>
      <c r="AU42" s="8">
        <f>IF(AND(AO42&gt;0,OR(AM42+AL42&gt;0,AR42&gt;0)),"BREACH","")</f>
        <v/>
      </c>
      <c r="AV42" s="13">
        <f>Params!$B$40+IF(AI42&lt;0,0,X42)*Params!$B$41-(AM42+AL42)*Params!$B$42</f>
        <v/>
      </c>
      <c r="AW42" s="9">
        <f>MAX(0,MIN(100,AW41-IF(AV42&lt;Params!$B$44,(Params!$B$44-AV42)*Params!$B$45,0)-IF(AJ42&lt;0,Params!$B$54,0)-IF(AU42="BREACH",Params!$B$53,0)-IF(T42="DARK",Params!$B$55,0)))</f>
        <v/>
      </c>
      <c r="AX42" s="8">
        <f>IF(AW42&lt;=0,"DEAD",TRIM(IF(V42&lt;0,"OVERWORK ","")&amp;IF(W42&lt;0,"NO-DAYLIGHT ","")&amp;IF(AG42&lt;0,"NO-LOGS ","")&amp;IF(AH42&lt;0,"NO-BOARDS ","")&amp;IF(AI42&lt;0,"NO-FUEL ","")&amp;IF(AJ42&lt;0,"HUNGER ","")&amp;AU42&amp;" "&amp;IF(T42="DARK","DARK-TRIP ","")&amp;IF(AV42&lt;Params!$B$44,"COLD","")))</f>
        <v/>
      </c>
    </row>
    <row r="43">
      <c r="A43" s="7" t="n">
        <v>35</v>
      </c>
      <c r="B43" s="8">
        <f>IF(A43&lt;=Params!$B$5,"prep","night")</f>
        <v/>
      </c>
      <c r="C43" s="8">
        <f>MAX(0,A43-Params!$B$5)</f>
        <v/>
      </c>
      <c r="D43" s="9">
        <f>IF(A43&lt;=Params!$B$5,ROUND(Params!$B$7-(Params!$B$7-Params!$B$8)*(A43-1)/(Params!$B$5-1),1),0)</f>
        <v/>
      </c>
      <c r="E43" s="8">
        <f>COUNTIFS(People!$F$2:$F$7,"&lt;="&amp;A43,People!$F$2:$F$7,"&gt;0")</f>
        <v/>
      </c>
      <c r="F43" s="10">
        <f>IF(E43=0,1,SUMIFS(People!$C$2:$C$7,People!$F$2:$F$7,"&lt;="&amp;A43,People!$F$2:$F$7,"&gt;0")/E43)</f>
        <v/>
      </c>
      <c r="G43" s="9">
        <f>E43*Params!$B$9</f>
        <v/>
      </c>
      <c r="H43" s="11" t="n">
        <v>0</v>
      </c>
      <c r="I43" s="11" t="n">
        <v>6</v>
      </c>
      <c r="J43" s="11" t="n">
        <v>2</v>
      </c>
      <c r="K43" s="12" t="n">
        <v>0</v>
      </c>
      <c r="L43" s="12" t="n">
        <v>4</v>
      </c>
      <c r="M43" s="12" t="n">
        <v>0</v>
      </c>
      <c r="N43" s="12" t="n"/>
      <c r="O43" s="12" t="n"/>
      <c r="P43" s="12" t="n"/>
      <c r="Q43" s="12" t="n"/>
      <c r="R43" s="9">
        <f>IF(N43="",0,(2*INDEX(Houses!$D$2:$D$18,MATCH(N43,Houses!$A$2:$A$18,0))+Params!$B$57)/IF(O43="",1,INDEX(People!$D$2:$D$7,MATCH(O43,People!$A$2:$A$7,0))))</f>
        <v/>
      </c>
      <c r="S43" s="9">
        <f>IF(P43="",0,(2*INDEX(Houses!$D$2:$D$18,MATCH(P43,Houses!$A$2:$A$18,0))+Params!$B$57)/IF(Q43="",1,INDEX(People!$D$2:$D$7,MATCH(Q43,People!$A$2:$A$7,0))))</f>
        <v/>
      </c>
      <c r="T43" s="8">
        <f>IF(AND(N43="",P43=""),"",IF(MAX(R43,S43)&lt;=D43,"ok","DARK"))</f>
        <v/>
      </c>
      <c r="U43" s="9">
        <f>H43+I43+J43+K43*Params!$B$32+L43*Params!$B$34+M43*Params!$B$37+R43+S43</f>
        <v/>
      </c>
      <c r="V43" s="9">
        <f>G43-U43</f>
        <v/>
      </c>
      <c r="W43" s="9">
        <f>D43*E43-(H43+R43+S43)</f>
        <v/>
      </c>
      <c r="X43" s="12" t="n">
        <v>1</v>
      </c>
      <c r="Y43" s="8">
        <f>IF(N43="",0,IF(O43="",8,INDEX(People!$E$2:$E$7,MATCH(O43,People!$A$2:$A$7,0))))</f>
        <v/>
      </c>
      <c r="Z43" s="8">
        <f>IF(N43="",0,MAX(0,MIN(INDEX(Houses!$E$2:$E$18,MATCH(N43,Houses!$A$2:$A$18,0))-IF(INDEX(Houses!$H$2:$H$18,MATCH(N43,Houses!$A$2:$A$18,0))=1,SUMIF($N$8:N42,N43,$Z$8:Z42)+SUMIF($P$8:P42,N43,$AD$8:AD42),0),Y43)))</f>
        <v/>
      </c>
      <c r="AA43" s="8">
        <f>IF(N43="",0,MAX(0,MIN(INDEX(Houses!$F$2:$F$18,MATCH(N43,Houses!$A$2:$A$18,0))-IF(INDEX(Houses!$H$2:$H$18,MATCH(N43,Houses!$A$2:$A$18,0))=1,SUMIF($N$8:N42,N43,$AA$8:AA42)+SUMIF($P$8:P42,N43,$AE$8:AE42),0),INT((Y43-Z43)/2))))</f>
        <v/>
      </c>
      <c r="AB43" s="8">
        <f>IF(N43="",0,MAX(0,INDEX(Houses!$G$2:$G$18,MATCH(N43,Houses!$A$2:$A$18,0))-IF(INDEX(Houses!$H$2:$H$18,MATCH(N43,Houses!$A$2:$A$18,0))=1,SUMIF($N$8:N42,N43,$AB$8:AB42)+SUMIF($P$8:P42,N43,$AF$8:AF42),0)))</f>
        <v/>
      </c>
      <c r="AC43" s="8">
        <f>IF(P43="",0,IF(Q43="",8,INDEX(People!$E$2:$E$7,MATCH(Q43,People!$A$2:$A$7,0))))</f>
        <v/>
      </c>
      <c r="AD43" s="8">
        <f>IF(P43="",0,MAX(0,MIN(INDEX(Houses!$E$2:$E$18,MATCH(P43,Houses!$A$2:$A$18,0))-IF(INDEX(Houses!$H$2:$H$18,MATCH(P43,Houses!$A$2:$A$18,0))=1,SUMIF($P$8:P42,P43,$AD$8:AD42)+SUMIF($N$8:N42,P43,$Z$8:Z42)+IF(N43=P43,Z43,0),0),AC43)))</f>
        <v/>
      </c>
      <c r="AE43" s="8">
        <f>IF(P43="",0,MAX(0,MIN(INDEX(Houses!$F$2:$F$18,MATCH(P43,Houses!$A$2:$A$18,0))-IF(INDEX(Houses!$H$2:$H$18,MATCH(P43,Houses!$A$2:$A$18,0))=1,SUMIF($P$8:P42,P43,$AE$8:AE42)+SUMIF($N$8:N42,P43,$AA$8:AA42)+IF(N43=P43,AA43,0),0),INT((AC43-AD43)/2))))</f>
        <v/>
      </c>
      <c r="AF43" s="8">
        <f>IF(P43="",0,MAX(0,INDEX(Houses!$G$2:$G$18,MATCH(P43,Houses!$A$2:$A$18,0))-IF(INDEX(Houses!$H$2:$H$18,MATCH(P43,Houses!$A$2:$A$18,0))=1,SUMIF($P$8:P42,P43,$AF$8:AF42)+SUMIF($N$8:N42,P43,$AB$8:AB42)+IF(N43=P43,AB43,0),0)))</f>
        <v/>
      </c>
      <c r="AG43" s="9">
        <f>AG42+H43*Params!$B$24*F43-I43*Params!$B$25-J43*Params!$B$27</f>
        <v/>
      </c>
      <c r="AH43" s="9">
        <f>AH42+I43*Params!$B$25*Params!$B$26-K43*Params!$B$31-L43*Params!$B$33-M43*Params!$B$36+AA43+AE43</f>
        <v/>
      </c>
      <c r="AI43" s="9">
        <f>AI42+J43*Params!$B$27*Params!$B$28-X43*Params!$B$43*24</f>
        <v/>
      </c>
      <c r="AJ43" s="9">
        <f>AJ42-E43*Params!$B$22+Z43+AD43</f>
        <v/>
      </c>
      <c r="AK43" s="8">
        <f>AK42+AB43+AF43</f>
        <v/>
      </c>
      <c r="AL43" s="8">
        <f>MAX(0,AL42-M43)</f>
        <v/>
      </c>
      <c r="AM43" s="8">
        <f>MAX(0,AT42-K43)</f>
        <v/>
      </c>
      <c r="AN43" s="9">
        <f>AQ42+L43*Params!$B$35</f>
        <v/>
      </c>
      <c r="AO43" s="8">
        <f>IF(C43=0,0,INDEX(Nights!$B$2:$B$31,C43))</f>
        <v/>
      </c>
      <c r="AP43" s="9">
        <f>AO43*Params!$B$51*Params!$B$50</f>
        <v/>
      </c>
      <c r="AQ43" s="9">
        <f>MAX(0,AN43-AP43)</f>
        <v/>
      </c>
      <c r="AR43" s="8">
        <f>INT((AS42+MAX(0,AP43-AN43))/Params!$B$30)</f>
        <v/>
      </c>
      <c r="AS43" s="9">
        <f>(AS42+MAX(0,AP43-AN43))-AR43*Params!$B$30</f>
        <v/>
      </c>
      <c r="AT43" s="8">
        <f>AM43+AR43</f>
        <v/>
      </c>
      <c r="AU43" s="8">
        <f>IF(AND(AO43&gt;0,OR(AM43+AL43&gt;0,AR43&gt;0)),"BREACH","")</f>
        <v/>
      </c>
      <c r="AV43" s="13">
        <f>Params!$B$40+IF(AI43&lt;0,0,X43)*Params!$B$41-(AM43+AL43)*Params!$B$42</f>
        <v/>
      </c>
      <c r="AW43" s="9">
        <f>MAX(0,MIN(100,AW42-IF(AV43&lt;Params!$B$44,(Params!$B$44-AV43)*Params!$B$45,0)-IF(AJ43&lt;0,Params!$B$54,0)-IF(AU43="BREACH",Params!$B$53,0)-IF(T43="DARK",Params!$B$55,0)))</f>
        <v/>
      </c>
      <c r="AX43" s="8">
        <f>IF(AW43&lt;=0,"DEAD",TRIM(IF(V43&lt;0,"OVERWORK ","")&amp;IF(W43&lt;0,"NO-DAYLIGHT ","")&amp;IF(AG43&lt;0,"NO-LOGS ","")&amp;IF(AH43&lt;0,"NO-BOARDS ","")&amp;IF(AI43&lt;0,"NO-FUEL ","")&amp;IF(AJ43&lt;0,"HUNGER ","")&amp;AU43&amp;" "&amp;IF(T43="DARK","DARK-TRIP ","")&amp;IF(AV43&lt;Params!$B$44,"COLD","")))</f>
        <v/>
      </c>
    </row>
    <row r="44">
      <c r="A44" s="7" t="n">
        <v>36</v>
      </c>
      <c r="B44" s="8">
        <f>IF(A44&lt;=Params!$B$5,"prep","night")</f>
        <v/>
      </c>
      <c r="C44" s="8">
        <f>MAX(0,A44-Params!$B$5)</f>
        <v/>
      </c>
      <c r="D44" s="9">
        <f>IF(A44&lt;=Params!$B$5,ROUND(Params!$B$7-(Params!$B$7-Params!$B$8)*(A44-1)/(Params!$B$5-1),1),0)</f>
        <v/>
      </c>
      <c r="E44" s="8">
        <f>COUNTIFS(People!$F$2:$F$7,"&lt;="&amp;A44,People!$F$2:$F$7,"&gt;0")</f>
        <v/>
      </c>
      <c r="F44" s="10">
        <f>IF(E44=0,1,SUMIFS(People!$C$2:$C$7,People!$F$2:$F$7,"&lt;="&amp;A44,People!$F$2:$F$7,"&gt;0")/E44)</f>
        <v/>
      </c>
      <c r="G44" s="9">
        <f>E44*Params!$B$9</f>
        <v/>
      </c>
      <c r="H44" s="11" t="n">
        <v>0</v>
      </c>
      <c r="I44" s="11" t="n">
        <v>6</v>
      </c>
      <c r="J44" s="11" t="n">
        <v>1</v>
      </c>
      <c r="K44" s="12" t="n">
        <v>0</v>
      </c>
      <c r="L44" s="12" t="n">
        <v>4</v>
      </c>
      <c r="M44" s="12" t="n">
        <v>0</v>
      </c>
      <c r="N44" s="12" t="n"/>
      <c r="O44" s="12" t="n"/>
      <c r="P44" s="12" t="n"/>
      <c r="Q44" s="12" t="n"/>
      <c r="R44" s="9">
        <f>IF(N44="",0,(2*INDEX(Houses!$D$2:$D$18,MATCH(N44,Houses!$A$2:$A$18,0))+Params!$B$57)/IF(O44="",1,INDEX(People!$D$2:$D$7,MATCH(O44,People!$A$2:$A$7,0))))</f>
        <v/>
      </c>
      <c r="S44" s="9">
        <f>IF(P44="",0,(2*INDEX(Houses!$D$2:$D$18,MATCH(P44,Houses!$A$2:$A$18,0))+Params!$B$57)/IF(Q44="",1,INDEX(People!$D$2:$D$7,MATCH(Q44,People!$A$2:$A$7,0))))</f>
        <v/>
      </c>
      <c r="T44" s="8">
        <f>IF(AND(N44="",P44=""),"",IF(MAX(R44,S44)&lt;=D44,"ok","DARK"))</f>
        <v/>
      </c>
      <c r="U44" s="9">
        <f>H44+I44+J44+K44*Params!$B$32+L44*Params!$B$34+M44*Params!$B$37+R44+S44</f>
        <v/>
      </c>
      <c r="V44" s="9">
        <f>G44-U44</f>
        <v/>
      </c>
      <c r="W44" s="9">
        <f>D44*E44-(H44+R44+S44)</f>
        <v/>
      </c>
      <c r="X44" s="12" t="n">
        <v>1</v>
      </c>
      <c r="Y44" s="8">
        <f>IF(N44="",0,IF(O44="",8,INDEX(People!$E$2:$E$7,MATCH(O44,People!$A$2:$A$7,0))))</f>
        <v/>
      </c>
      <c r="Z44" s="8">
        <f>IF(N44="",0,MAX(0,MIN(INDEX(Houses!$E$2:$E$18,MATCH(N44,Houses!$A$2:$A$18,0))-IF(INDEX(Houses!$H$2:$H$18,MATCH(N44,Houses!$A$2:$A$18,0))=1,SUMIF($N$8:N43,N44,$Z$8:Z43)+SUMIF($P$8:P43,N44,$AD$8:AD43),0),Y44)))</f>
        <v/>
      </c>
      <c r="AA44" s="8">
        <f>IF(N44="",0,MAX(0,MIN(INDEX(Houses!$F$2:$F$18,MATCH(N44,Houses!$A$2:$A$18,0))-IF(INDEX(Houses!$H$2:$H$18,MATCH(N44,Houses!$A$2:$A$18,0))=1,SUMIF($N$8:N43,N44,$AA$8:AA43)+SUMIF($P$8:P43,N44,$AE$8:AE43),0),INT((Y44-Z44)/2))))</f>
        <v/>
      </c>
      <c r="AB44" s="8">
        <f>IF(N44="",0,MAX(0,INDEX(Houses!$G$2:$G$18,MATCH(N44,Houses!$A$2:$A$18,0))-IF(INDEX(Houses!$H$2:$H$18,MATCH(N44,Houses!$A$2:$A$18,0))=1,SUMIF($N$8:N43,N44,$AB$8:AB43)+SUMIF($P$8:P43,N44,$AF$8:AF43),0)))</f>
        <v/>
      </c>
      <c r="AC44" s="8">
        <f>IF(P44="",0,IF(Q44="",8,INDEX(People!$E$2:$E$7,MATCH(Q44,People!$A$2:$A$7,0))))</f>
        <v/>
      </c>
      <c r="AD44" s="8">
        <f>IF(P44="",0,MAX(0,MIN(INDEX(Houses!$E$2:$E$18,MATCH(P44,Houses!$A$2:$A$18,0))-IF(INDEX(Houses!$H$2:$H$18,MATCH(P44,Houses!$A$2:$A$18,0))=1,SUMIF($P$8:P43,P44,$AD$8:AD43)+SUMIF($N$8:N43,P44,$Z$8:Z43)+IF(N44=P44,Z44,0),0),AC44)))</f>
        <v/>
      </c>
      <c r="AE44" s="8">
        <f>IF(P44="",0,MAX(0,MIN(INDEX(Houses!$F$2:$F$18,MATCH(P44,Houses!$A$2:$A$18,0))-IF(INDEX(Houses!$H$2:$H$18,MATCH(P44,Houses!$A$2:$A$18,0))=1,SUMIF($P$8:P43,P44,$AE$8:AE43)+SUMIF($N$8:N43,P44,$AA$8:AA43)+IF(N44=P44,AA44,0),0),INT((AC44-AD44)/2))))</f>
        <v/>
      </c>
      <c r="AF44" s="8">
        <f>IF(P44="",0,MAX(0,INDEX(Houses!$G$2:$G$18,MATCH(P44,Houses!$A$2:$A$18,0))-IF(INDEX(Houses!$H$2:$H$18,MATCH(P44,Houses!$A$2:$A$18,0))=1,SUMIF($P$8:P43,P44,$AF$8:AF43)+SUMIF($N$8:N43,P44,$AB$8:AB43)+IF(N44=P44,AB44,0),0)))</f>
        <v/>
      </c>
      <c r="AG44" s="9">
        <f>AG43+H44*Params!$B$24*F44-I44*Params!$B$25-J44*Params!$B$27</f>
        <v/>
      </c>
      <c r="AH44" s="9">
        <f>AH43+I44*Params!$B$25*Params!$B$26-K44*Params!$B$31-L44*Params!$B$33-M44*Params!$B$36+AA44+AE44</f>
        <v/>
      </c>
      <c r="AI44" s="9">
        <f>AI43+J44*Params!$B$27*Params!$B$28-X44*Params!$B$43*24</f>
        <v/>
      </c>
      <c r="AJ44" s="9">
        <f>AJ43-E44*Params!$B$22+Z44+AD44</f>
        <v/>
      </c>
      <c r="AK44" s="8">
        <f>AK43+AB44+AF44</f>
        <v/>
      </c>
      <c r="AL44" s="8">
        <f>MAX(0,AL43-M44)</f>
        <v/>
      </c>
      <c r="AM44" s="8">
        <f>MAX(0,AT43-K44)</f>
        <v/>
      </c>
      <c r="AN44" s="9">
        <f>AQ43+L44*Params!$B$35</f>
        <v/>
      </c>
      <c r="AO44" s="8">
        <f>IF(C44=0,0,INDEX(Nights!$B$2:$B$31,C44))</f>
        <v/>
      </c>
      <c r="AP44" s="9">
        <f>AO44*Params!$B$51*Params!$B$50</f>
        <v/>
      </c>
      <c r="AQ44" s="9">
        <f>MAX(0,AN44-AP44)</f>
        <v/>
      </c>
      <c r="AR44" s="8">
        <f>INT((AS43+MAX(0,AP44-AN44))/Params!$B$30)</f>
        <v/>
      </c>
      <c r="AS44" s="9">
        <f>(AS43+MAX(0,AP44-AN44))-AR44*Params!$B$30</f>
        <v/>
      </c>
      <c r="AT44" s="8">
        <f>AM44+AR44</f>
        <v/>
      </c>
      <c r="AU44" s="8">
        <f>IF(AND(AO44&gt;0,OR(AM44+AL44&gt;0,AR44&gt;0)),"BREACH","")</f>
        <v/>
      </c>
      <c r="AV44" s="13">
        <f>Params!$B$40+IF(AI44&lt;0,0,X44)*Params!$B$41-(AM44+AL44)*Params!$B$42</f>
        <v/>
      </c>
      <c r="AW44" s="9">
        <f>MAX(0,MIN(100,AW43-IF(AV44&lt;Params!$B$44,(Params!$B$44-AV44)*Params!$B$45,0)-IF(AJ44&lt;0,Params!$B$54,0)-IF(AU44="BREACH",Params!$B$53,0)-IF(T44="DARK",Params!$B$55,0)))</f>
        <v/>
      </c>
      <c r="AX44" s="8">
        <f>IF(AW44&lt;=0,"DEAD",TRIM(IF(V44&lt;0,"OVERWORK ","")&amp;IF(W44&lt;0,"NO-DAYLIGHT ","")&amp;IF(AG44&lt;0,"NO-LOGS ","")&amp;IF(AH44&lt;0,"NO-BOARDS ","")&amp;IF(AI44&lt;0,"NO-FUEL ","")&amp;IF(AJ44&lt;0,"HUNGER ","")&amp;AU44&amp;" "&amp;IF(T44="DARK","DARK-TRIP ","")&amp;IF(AV44&lt;Params!$B$44,"COLD","")))</f>
        <v/>
      </c>
    </row>
    <row r="45">
      <c r="A45" s="7" t="n">
        <v>37</v>
      </c>
      <c r="B45" s="8">
        <f>IF(A45&lt;=Params!$B$5,"prep","night")</f>
        <v/>
      </c>
      <c r="C45" s="8">
        <f>MAX(0,A45-Params!$B$5)</f>
        <v/>
      </c>
      <c r="D45" s="9">
        <f>IF(A45&lt;=Params!$B$5,ROUND(Params!$B$7-(Params!$B$7-Params!$B$8)*(A45-1)/(Params!$B$5-1),1),0)</f>
        <v/>
      </c>
      <c r="E45" s="8">
        <f>COUNTIFS(People!$F$2:$F$7,"&lt;="&amp;A45,People!$F$2:$F$7,"&gt;0")</f>
        <v/>
      </c>
      <c r="F45" s="10">
        <f>IF(E45=0,1,SUMIFS(People!$C$2:$C$7,People!$F$2:$F$7,"&lt;="&amp;A45,People!$F$2:$F$7,"&gt;0")/E45)</f>
        <v/>
      </c>
      <c r="G45" s="9">
        <f>E45*Params!$B$9</f>
        <v/>
      </c>
      <c r="H45" s="11" t="n">
        <v>0</v>
      </c>
      <c r="I45" s="11" t="n">
        <v>0</v>
      </c>
      <c r="J45" s="11" t="n">
        <v>1</v>
      </c>
      <c r="K45" s="12" t="n">
        <v>0</v>
      </c>
      <c r="L45" s="12" t="n">
        <v>0</v>
      </c>
      <c r="M45" s="12" t="n">
        <v>0</v>
      </c>
      <c r="N45" s="12" t="n"/>
      <c r="O45" s="12" t="n"/>
      <c r="P45" s="12" t="n"/>
      <c r="Q45" s="12" t="n"/>
      <c r="R45" s="9">
        <f>IF(N45="",0,(2*INDEX(Houses!$D$2:$D$18,MATCH(N45,Houses!$A$2:$A$18,0))+Params!$B$57)/IF(O45="",1,INDEX(People!$D$2:$D$7,MATCH(O45,People!$A$2:$A$7,0))))</f>
        <v/>
      </c>
      <c r="S45" s="9">
        <f>IF(P45="",0,(2*INDEX(Houses!$D$2:$D$18,MATCH(P45,Houses!$A$2:$A$18,0))+Params!$B$57)/IF(Q45="",1,INDEX(People!$D$2:$D$7,MATCH(Q45,People!$A$2:$A$7,0))))</f>
        <v/>
      </c>
      <c r="T45" s="8">
        <f>IF(AND(N45="",P45=""),"",IF(MAX(R45,S45)&lt;=D45,"ok","DARK"))</f>
        <v/>
      </c>
      <c r="U45" s="9">
        <f>H45+I45+J45+K45*Params!$B$32+L45*Params!$B$34+M45*Params!$B$37+R45+S45</f>
        <v/>
      </c>
      <c r="V45" s="9">
        <f>G45-U45</f>
        <v/>
      </c>
      <c r="W45" s="9">
        <f>D45*E45-(H45+R45+S45)</f>
        <v/>
      </c>
      <c r="X45" s="12" t="n">
        <v>1</v>
      </c>
      <c r="Y45" s="8">
        <f>IF(N45="",0,IF(O45="",8,INDEX(People!$E$2:$E$7,MATCH(O45,People!$A$2:$A$7,0))))</f>
        <v/>
      </c>
      <c r="Z45" s="8">
        <f>IF(N45="",0,MAX(0,MIN(INDEX(Houses!$E$2:$E$18,MATCH(N45,Houses!$A$2:$A$18,0))-IF(INDEX(Houses!$H$2:$H$18,MATCH(N45,Houses!$A$2:$A$18,0))=1,SUMIF($N$8:N44,N45,$Z$8:Z44)+SUMIF($P$8:P44,N45,$AD$8:AD44),0),Y45)))</f>
        <v/>
      </c>
      <c r="AA45" s="8">
        <f>IF(N45="",0,MAX(0,MIN(INDEX(Houses!$F$2:$F$18,MATCH(N45,Houses!$A$2:$A$18,0))-IF(INDEX(Houses!$H$2:$H$18,MATCH(N45,Houses!$A$2:$A$18,0))=1,SUMIF($N$8:N44,N45,$AA$8:AA44)+SUMIF($P$8:P44,N45,$AE$8:AE44),0),INT((Y45-Z45)/2))))</f>
        <v/>
      </c>
      <c r="AB45" s="8">
        <f>IF(N45="",0,MAX(0,INDEX(Houses!$G$2:$G$18,MATCH(N45,Houses!$A$2:$A$18,0))-IF(INDEX(Houses!$H$2:$H$18,MATCH(N45,Houses!$A$2:$A$18,0))=1,SUMIF($N$8:N44,N45,$AB$8:AB44)+SUMIF($P$8:P44,N45,$AF$8:AF44),0)))</f>
        <v/>
      </c>
      <c r="AC45" s="8">
        <f>IF(P45="",0,IF(Q45="",8,INDEX(People!$E$2:$E$7,MATCH(Q45,People!$A$2:$A$7,0))))</f>
        <v/>
      </c>
      <c r="AD45" s="8">
        <f>IF(P45="",0,MAX(0,MIN(INDEX(Houses!$E$2:$E$18,MATCH(P45,Houses!$A$2:$A$18,0))-IF(INDEX(Houses!$H$2:$H$18,MATCH(P45,Houses!$A$2:$A$18,0))=1,SUMIF($P$8:P44,P45,$AD$8:AD44)+SUMIF($N$8:N44,P45,$Z$8:Z44)+IF(N45=P45,Z45,0),0),AC45)))</f>
        <v/>
      </c>
      <c r="AE45" s="8">
        <f>IF(P45="",0,MAX(0,MIN(INDEX(Houses!$F$2:$F$18,MATCH(P45,Houses!$A$2:$A$18,0))-IF(INDEX(Houses!$H$2:$H$18,MATCH(P45,Houses!$A$2:$A$18,0))=1,SUMIF($P$8:P44,P45,$AE$8:AE44)+SUMIF($N$8:N44,P45,$AA$8:AA44)+IF(N45=P45,AA45,0),0),INT((AC45-AD45)/2))))</f>
        <v/>
      </c>
      <c r="AF45" s="8">
        <f>IF(P45="",0,MAX(0,INDEX(Houses!$G$2:$G$18,MATCH(P45,Houses!$A$2:$A$18,0))-IF(INDEX(Houses!$H$2:$H$18,MATCH(P45,Houses!$A$2:$A$18,0))=1,SUMIF($P$8:P44,P45,$AF$8:AF44)+SUMIF($N$8:N44,P45,$AB$8:AB44)+IF(N45=P45,AB45,0),0)))</f>
        <v/>
      </c>
      <c r="AG45" s="9">
        <f>AG44+H45*Params!$B$24*F45-I45*Params!$B$25-J45*Params!$B$27</f>
        <v/>
      </c>
      <c r="AH45" s="9">
        <f>AH44+I45*Params!$B$25*Params!$B$26-K45*Params!$B$31-L45*Params!$B$33-M45*Params!$B$36+AA45+AE45</f>
        <v/>
      </c>
      <c r="AI45" s="9">
        <f>AI44+J45*Params!$B$27*Params!$B$28-X45*Params!$B$43*24</f>
        <v/>
      </c>
      <c r="AJ45" s="9">
        <f>AJ44-E45*Params!$B$22+Z45+AD45</f>
        <v/>
      </c>
      <c r="AK45" s="8">
        <f>AK44+AB45+AF45</f>
        <v/>
      </c>
      <c r="AL45" s="8">
        <f>MAX(0,AL44-M45)</f>
        <v/>
      </c>
      <c r="AM45" s="8">
        <f>MAX(0,AT44-K45)</f>
        <v/>
      </c>
      <c r="AN45" s="9">
        <f>AQ44+L45*Params!$B$35</f>
        <v/>
      </c>
      <c r="AO45" s="8">
        <f>IF(C45=0,0,INDEX(Nights!$B$2:$B$31,C45))</f>
        <v/>
      </c>
      <c r="AP45" s="9">
        <f>AO45*Params!$B$51*Params!$B$50</f>
        <v/>
      </c>
      <c r="AQ45" s="9">
        <f>MAX(0,AN45-AP45)</f>
        <v/>
      </c>
      <c r="AR45" s="8">
        <f>INT((AS44+MAX(0,AP45-AN45))/Params!$B$30)</f>
        <v/>
      </c>
      <c r="AS45" s="9">
        <f>(AS44+MAX(0,AP45-AN45))-AR45*Params!$B$30</f>
        <v/>
      </c>
      <c r="AT45" s="8">
        <f>AM45+AR45</f>
        <v/>
      </c>
      <c r="AU45" s="8">
        <f>IF(AND(AO45&gt;0,OR(AM45+AL45&gt;0,AR45&gt;0)),"BREACH","")</f>
        <v/>
      </c>
      <c r="AV45" s="13">
        <f>Params!$B$40+IF(AI45&lt;0,0,X45)*Params!$B$41-(AM45+AL45)*Params!$B$42</f>
        <v/>
      </c>
      <c r="AW45" s="9">
        <f>MAX(0,MIN(100,AW44-IF(AV45&lt;Params!$B$44,(Params!$B$44-AV45)*Params!$B$45,0)-IF(AJ45&lt;0,Params!$B$54,0)-IF(AU45="BREACH",Params!$B$53,0)-IF(T45="DARK",Params!$B$55,0)))</f>
        <v/>
      </c>
      <c r="AX45" s="8">
        <f>IF(AW45&lt;=0,"DEAD",TRIM(IF(V45&lt;0,"OVERWORK ","")&amp;IF(W45&lt;0,"NO-DAYLIGHT ","")&amp;IF(AG45&lt;0,"NO-LOGS ","")&amp;IF(AH45&lt;0,"NO-BOARDS ","")&amp;IF(AI45&lt;0,"NO-FUEL ","")&amp;IF(AJ45&lt;0,"HUNGER ","")&amp;AU45&amp;" "&amp;IF(T45="DARK","DARK-TRIP ","")&amp;IF(AV45&lt;Params!$B$44,"COLD","")))</f>
        <v/>
      </c>
    </row>
    <row r="46">
      <c r="A46" s="7" t="n">
        <v>38</v>
      </c>
      <c r="B46" s="8">
        <f>IF(A46&lt;=Params!$B$5,"prep","night")</f>
        <v/>
      </c>
      <c r="C46" s="8">
        <f>MAX(0,A46-Params!$B$5)</f>
        <v/>
      </c>
      <c r="D46" s="9">
        <f>IF(A46&lt;=Params!$B$5,ROUND(Params!$B$7-(Params!$B$7-Params!$B$8)*(A46-1)/(Params!$B$5-1),1),0)</f>
        <v/>
      </c>
      <c r="E46" s="8">
        <f>COUNTIFS(People!$F$2:$F$7,"&lt;="&amp;A46,People!$F$2:$F$7,"&gt;0")</f>
        <v/>
      </c>
      <c r="F46" s="10">
        <f>IF(E46=0,1,SUMIFS(People!$C$2:$C$7,People!$F$2:$F$7,"&lt;="&amp;A46,People!$F$2:$F$7,"&gt;0")/E46)</f>
        <v/>
      </c>
      <c r="G46" s="9">
        <f>E46*Params!$B$9</f>
        <v/>
      </c>
      <c r="H46" s="11" t="n">
        <v>0</v>
      </c>
      <c r="I46" s="11" t="n">
        <v>6</v>
      </c>
      <c r="J46" s="11" t="n">
        <v>2</v>
      </c>
      <c r="K46" s="12" t="n">
        <v>0</v>
      </c>
      <c r="L46" s="12" t="n">
        <v>4</v>
      </c>
      <c r="M46" s="12" t="n">
        <v>0</v>
      </c>
      <c r="N46" s="12" t="n"/>
      <c r="O46" s="12" t="n"/>
      <c r="P46" s="12" t="n"/>
      <c r="Q46" s="12" t="n"/>
      <c r="R46" s="9">
        <f>IF(N46="",0,(2*INDEX(Houses!$D$2:$D$18,MATCH(N46,Houses!$A$2:$A$18,0))+Params!$B$57)/IF(O46="",1,INDEX(People!$D$2:$D$7,MATCH(O46,People!$A$2:$A$7,0))))</f>
        <v/>
      </c>
      <c r="S46" s="9">
        <f>IF(P46="",0,(2*INDEX(Houses!$D$2:$D$18,MATCH(P46,Houses!$A$2:$A$18,0))+Params!$B$57)/IF(Q46="",1,INDEX(People!$D$2:$D$7,MATCH(Q46,People!$A$2:$A$7,0))))</f>
        <v/>
      </c>
      <c r="T46" s="8">
        <f>IF(AND(N46="",P46=""),"",IF(MAX(R46,S46)&lt;=D46,"ok","DARK"))</f>
        <v/>
      </c>
      <c r="U46" s="9">
        <f>H46+I46+J46+K46*Params!$B$32+L46*Params!$B$34+M46*Params!$B$37+R46+S46</f>
        <v/>
      </c>
      <c r="V46" s="9">
        <f>G46-U46</f>
        <v/>
      </c>
      <c r="W46" s="9">
        <f>D46*E46-(H46+R46+S46)</f>
        <v/>
      </c>
      <c r="X46" s="12" t="n">
        <v>1</v>
      </c>
      <c r="Y46" s="8">
        <f>IF(N46="",0,IF(O46="",8,INDEX(People!$E$2:$E$7,MATCH(O46,People!$A$2:$A$7,0))))</f>
        <v/>
      </c>
      <c r="Z46" s="8">
        <f>IF(N46="",0,MAX(0,MIN(INDEX(Houses!$E$2:$E$18,MATCH(N46,Houses!$A$2:$A$18,0))-IF(INDEX(Houses!$H$2:$H$18,MATCH(N46,Houses!$A$2:$A$18,0))=1,SUMIF($N$8:N45,N46,$Z$8:Z45)+SUMIF($P$8:P45,N46,$AD$8:AD45),0),Y46)))</f>
        <v/>
      </c>
      <c r="AA46" s="8">
        <f>IF(N46="",0,MAX(0,MIN(INDEX(Houses!$F$2:$F$18,MATCH(N46,Houses!$A$2:$A$18,0))-IF(INDEX(Houses!$H$2:$H$18,MATCH(N46,Houses!$A$2:$A$18,0))=1,SUMIF($N$8:N45,N46,$AA$8:AA45)+SUMIF($P$8:P45,N46,$AE$8:AE45),0),INT((Y46-Z46)/2))))</f>
        <v/>
      </c>
      <c r="AB46" s="8">
        <f>IF(N46="",0,MAX(0,INDEX(Houses!$G$2:$G$18,MATCH(N46,Houses!$A$2:$A$18,0))-IF(INDEX(Houses!$H$2:$H$18,MATCH(N46,Houses!$A$2:$A$18,0))=1,SUMIF($N$8:N45,N46,$AB$8:AB45)+SUMIF($P$8:P45,N46,$AF$8:AF45),0)))</f>
        <v/>
      </c>
      <c r="AC46" s="8">
        <f>IF(P46="",0,IF(Q46="",8,INDEX(People!$E$2:$E$7,MATCH(Q46,People!$A$2:$A$7,0))))</f>
        <v/>
      </c>
      <c r="AD46" s="8">
        <f>IF(P46="",0,MAX(0,MIN(INDEX(Houses!$E$2:$E$18,MATCH(P46,Houses!$A$2:$A$18,0))-IF(INDEX(Houses!$H$2:$H$18,MATCH(P46,Houses!$A$2:$A$18,0))=1,SUMIF($P$8:P45,P46,$AD$8:AD45)+SUMIF($N$8:N45,P46,$Z$8:Z45)+IF(N46=P46,Z46,0),0),AC46)))</f>
        <v/>
      </c>
      <c r="AE46" s="8">
        <f>IF(P46="",0,MAX(0,MIN(INDEX(Houses!$F$2:$F$18,MATCH(P46,Houses!$A$2:$A$18,0))-IF(INDEX(Houses!$H$2:$H$18,MATCH(P46,Houses!$A$2:$A$18,0))=1,SUMIF($P$8:P45,P46,$AE$8:AE45)+SUMIF($N$8:N45,P46,$AA$8:AA45)+IF(N46=P46,AA46,0),0),INT((AC46-AD46)/2))))</f>
        <v/>
      </c>
      <c r="AF46" s="8">
        <f>IF(P46="",0,MAX(0,INDEX(Houses!$G$2:$G$18,MATCH(P46,Houses!$A$2:$A$18,0))-IF(INDEX(Houses!$H$2:$H$18,MATCH(P46,Houses!$A$2:$A$18,0))=1,SUMIF($P$8:P45,P46,$AF$8:AF45)+SUMIF($N$8:N45,P46,$AB$8:AB45)+IF(N46=P46,AB46,0),0)))</f>
        <v/>
      </c>
      <c r="AG46" s="9">
        <f>AG45+H46*Params!$B$24*F46-I46*Params!$B$25-J46*Params!$B$27</f>
        <v/>
      </c>
      <c r="AH46" s="9">
        <f>AH45+I46*Params!$B$25*Params!$B$26-K46*Params!$B$31-L46*Params!$B$33-M46*Params!$B$36+AA46+AE46</f>
        <v/>
      </c>
      <c r="AI46" s="9">
        <f>AI45+J46*Params!$B$27*Params!$B$28-X46*Params!$B$43*24</f>
        <v/>
      </c>
      <c r="AJ46" s="9">
        <f>AJ45-E46*Params!$B$22+Z46+AD46</f>
        <v/>
      </c>
      <c r="AK46" s="8">
        <f>AK45+AB46+AF46</f>
        <v/>
      </c>
      <c r="AL46" s="8">
        <f>MAX(0,AL45-M46)</f>
        <v/>
      </c>
      <c r="AM46" s="8">
        <f>MAX(0,AT45-K46)</f>
        <v/>
      </c>
      <c r="AN46" s="9">
        <f>AQ45+L46*Params!$B$35</f>
        <v/>
      </c>
      <c r="AO46" s="8">
        <f>IF(C46=0,0,INDEX(Nights!$B$2:$B$31,C46))</f>
        <v/>
      </c>
      <c r="AP46" s="9">
        <f>AO46*Params!$B$51*Params!$B$50</f>
        <v/>
      </c>
      <c r="AQ46" s="9">
        <f>MAX(0,AN46-AP46)</f>
        <v/>
      </c>
      <c r="AR46" s="8">
        <f>INT((AS45+MAX(0,AP46-AN46))/Params!$B$30)</f>
        <v/>
      </c>
      <c r="AS46" s="9">
        <f>(AS45+MAX(0,AP46-AN46))-AR46*Params!$B$30</f>
        <v/>
      </c>
      <c r="AT46" s="8">
        <f>AM46+AR46</f>
        <v/>
      </c>
      <c r="AU46" s="8">
        <f>IF(AND(AO46&gt;0,OR(AM46+AL46&gt;0,AR46&gt;0)),"BREACH","")</f>
        <v/>
      </c>
      <c r="AV46" s="13">
        <f>Params!$B$40+IF(AI46&lt;0,0,X46)*Params!$B$41-(AM46+AL46)*Params!$B$42</f>
        <v/>
      </c>
      <c r="AW46" s="9">
        <f>MAX(0,MIN(100,AW45-IF(AV46&lt;Params!$B$44,(Params!$B$44-AV46)*Params!$B$45,0)-IF(AJ46&lt;0,Params!$B$54,0)-IF(AU46="BREACH",Params!$B$53,0)-IF(T46="DARK",Params!$B$55,0)))</f>
        <v/>
      </c>
      <c r="AX46" s="8">
        <f>IF(AW46&lt;=0,"DEAD",TRIM(IF(V46&lt;0,"OVERWORK ","")&amp;IF(W46&lt;0,"NO-DAYLIGHT ","")&amp;IF(AG46&lt;0,"NO-LOGS ","")&amp;IF(AH46&lt;0,"NO-BOARDS ","")&amp;IF(AI46&lt;0,"NO-FUEL ","")&amp;IF(AJ46&lt;0,"HUNGER ","")&amp;AU46&amp;" "&amp;IF(T46="DARK","DARK-TRIP ","")&amp;IF(AV46&lt;Params!$B$44,"COLD","")))</f>
        <v/>
      </c>
    </row>
    <row r="47">
      <c r="A47" s="7" t="n">
        <v>39</v>
      </c>
      <c r="B47" s="8">
        <f>IF(A47&lt;=Params!$B$5,"prep","night")</f>
        <v/>
      </c>
      <c r="C47" s="8">
        <f>MAX(0,A47-Params!$B$5)</f>
        <v/>
      </c>
      <c r="D47" s="9">
        <f>IF(A47&lt;=Params!$B$5,ROUND(Params!$B$7-(Params!$B$7-Params!$B$8)*(A47-1)/(Params!$B$5-1),1),0)</f>
        <v/>
      </c>
      <c r="E47" s="8">
        <f>COUNTIFS(People!$F$2:$F$7,"&lt;="&amp;A47,People!$F$2:$F$7,"&gt;0")</f>
        <v/>
      </c>
      <c r="F47" s="10">
        <f>IF(E47=0,1,SUMIFS(People!$C$2:$C$7,People!$F$2:$F$7,"&lt;="&amp;A47,People!$F$2:$F$7,"&gt;0")/E47)</f>
        <v/>
      </c>
      <c r="G47" s="9">
        <f>E47*Params!$B$9</f>
        <v/>
      </c>
      <c r="H47" s="11" t="n">
        <v>0</v>
      </c>
      <c r="I47" s="11" t="n">
        <v>6</v>
      </c>
      <c r="J47" s="11" t="n">
        <v>1</v>
      </c>
      <c r="K47" s="12" t="n">
        <v>1</v>
      </c>
      <c r="L47" s="12" t="n">
        <v>3</v>
      </c>
      <c r="M47" s="12" t="n">
        <v>0</v>
      </c>
      <c r="N47" s="12" t="n"/>
      <c r="O47" s="12" t="n"/>
      <c r="P47" s="12" t="n"/>
      <c r="Q47" s="12" t="n"/>
      <c r="R47" s="9">
        <f>IF(N47="",0,(2*INDEX(Houses!$D$2:$D$18,MATCH(N47,Houses!$A$2:$A$18,0))+Params!$B$57)/IF(O47="",1,INDEX(People!$D$2:$D$7,MATCH(O47,People!$A$2:$A$7,0))))</f>
        <v/>
      </c>
      <c r="S47" s="9">
        <f>IF(P47="",0,(2*INDEX(Houses!$D$2:$D$18,MATCH(P47,Houses!$A$2:$A$18,0))+Params!$B$57)/IF(Q47="",1,INDEX(People!$D$2:$D$7,MATCH(Q47,People!$A$2:$A$7,0))))</f>
        <v/>
      </c>
      <c r="T47" s="8">
        <f>IF(AND(N47="",P47=""),"",IF(MAX(R47,S47)&lt;=D47,"ok","DARK"))</f>
        <v/>
      </c>
      <c r="U47" s="9">
        <f>H47+I47+J47+K47*Params!$B$32+L47*Params!$B$34+M47*Params!$B$37+R47+S47</f>
        <v/>
      </c>
      <c r="V47" s="9">
        <f>G47-U47</f>
        <v/>
      </c>
      <c r="W47" s="9">
        <f>D47*E47-(H47+R47+S47)</f>
        <v/>
      </c>
      <c r="X47" s="12" t="n">
        <v>1</v>
      </c>
      <c r="Y47" s="8">
        <f>IF(N47="",0,IF(O47="",8,INDEX(People!$E$2:$E$7,MATCH(O47,People!$A$2:$A$7,0))))</f>
        <v/>
      </c>
      <c r="Z47" s="8">
        <f>IF(N47="",0,MAX(0,MIN(INDEX(Houses!$E$2:$E$18,MATCH(N47,Houses!$A$2:$A$18,0))-IF(INDEX(Houses!$H$2:$H$18,MATCH(N47,Houses!$A$2:$A$18,0))=1,SUMIF($N$8:N46,N47,$Z$8:Z46)+SUMIF($P$8:P46,N47,$AD$8:AD46),0),Y47)))</f>
        <v/>
      </c>
      <c r="AA47" s="8">
        <f>IF(N47="",0,MAX(0,MIN(INDEX(Houses!$F$2:$F$18,MATCH(N47,Houses!$A$2:$A$18,0))-IF(INDEX(Houses!$H$2:$H$18,MATCH(N47,Houses!$A$2:$A$18,0))=1,SUMIF($N$8:N46,N47,$AA$8:AA46)+SUMIF($P$8:P46,N47,$AE$8:AE46),0),INT((Y47-Z47)/2))))</f>
        <v/>
      </c>
      <c r="AB47" s="8">
        <f>IF(N47="",0,MAX(0,INDEX(Houses!$G$2:$G$18,MATCH(N47,Houses!$A$2:$A$18,0))-IF(INDEX(Houses!$H$2:$H$18,MATCH(N47,Houses!$A$2:$A$18,0))=1,SUMIF($N$8:N46,N47,$AB$8:AB46)+SUMIF($P$8:P46,N47,$AF$8:AF46),0)))</f>
        <v/>
      </c>
      <c r="AC47" s="8">
        <f>IF(P47="",0,IF(Q47="",8,INDEX(People!$E$2:$E$7,MATCH(Q47,People!$A$2:$A$7,0))))</f>
        <v/>
      </c>
      <c r="AD47" s="8">
        <f>IF(P47="",0,MAX(0,MIN(INDEX(Houses!$E$2:$E$18,MATCH(P47,Houses!$A$2:$A$18,0))-IF(INDEX(Houses!$H$2:$H$18,MATCH(P47,Houses!$A$2:$A$18,0))=1,SUMIF($P$8:P46,P47,$AD$8:AD46)+SUMIF($N$8:N46,P47,$Z$8:Z46)+IF(N47=P47,Z47,0),0),AC47)))</f>
        <v/>
      </c>
      <c r="AE47" s="8">
        <f>IF(P47="",0,MAX(0,MIN(INDEX(Houses!$F$2:$F$18,MATCH(P47,Houses!$A$2:$A$18,0))-IF(INDEX(Houses!$H$2:$H$18,MATCH(P47,Houses!$A$2:$A$18,0))=1,SUMIF($P$8:P46,P47,$AE$8:AE46)+SUMIF($N$8:N46,P47,$AA$8:AA46)+IF(N47=P47,AA47,0),0),INT((AC47-AD47)/2))))</f>
        <v/>
      </c>
      <c r="AF47" s="8">
        <f>IF(P47="",0,MAX(0,INDEX(Houses!$G$2:$G$18,MATCH(P47,Houses!$A$2:$A$18,0))-IF(INDEX(Houses!$H$2:$H$18,MATCH(P47,Houses!$A$2:$A$18,0))=1,SUMIF($P$8:P46,P47,$AF$8:AF46)+SUMIF($N$8:N46,P47,$AB$8:AB46)+IF(N47=P47,AB47,0),0)))</f>
        <v/>
      </c>
      <c r="AG47" s="9">
        <f>AG46+H47*Params!$B$24*F47-I47*Params!$B$25-J47*Params!$B$27</f>
        <v/>
      </c>
      <c r="AH47" s="9">
        <f>AH46+I47*Params!$B$25*Params!$B$26-K47*Params!$B$31-L47*Params!$B$33-M47*Params!$B$36+AA47+AE47</f>
        <v/>
      </c>
      <c r="AI47" s="9">
        <f>AI46+J47*Params!$B$27*Params!$B$28-X47*Params!$B$43*24</f>
        <v/>
      </c>
      <c r="AJ47" s="9">
        <f>AJ46-E47*Params!$B$22+Z47+AD47</f>
        <v/>
      </c>
      <c r="AK47" s="8">
        <f>AK46+AB47+AF47</f>
        <v/>
      </c>
      <c r="AL47" s="8">
        <f>MAX(0,AL46-M47)</f>
        <v/>
      </c>
      <c r="AM47" s="8">
        <f>MAX(0,AT46-K47)</f>
        <v/>
      </c>
      <c r="AN47" s="9">
        <f>AQ46+L47*Params!$B$35</f>
        <v/>
      </c>
      <c r="AO47" s="8">
        <f>IF(C47=0,0,INDEX(Nights!$B$2:$B$31,C47))</f>
        <v/>
      </c>
      <c r="AP47" s="9">
        <f>AO47*Params!$B$51*Params!$B$50</f>
        <v/>
      </c>
      <c r="AQ47" s="9">
        <f>MAX(0,AN47-AP47)</f>
        <v/>
      </c>
      <c r="AR47" s="8">
        <f>INT((AS46+MAX(0,AP47-AN47))/Params!$B$30)</f>
        <v/>
      </c>
      <c r="AS47" s="9">
        <f>(AS46+MAX(0,AP47-AN47))-AR47*Params!$B$30</f>
        <v/>
      </c>
      <c r="AT47" s="8">
        <f>AM47+AR47</f>
        <v/>
      </c>
      <c r="AU47" s="8">
        <f>IF(AND(AO47&gt;0,OR(AM47+AL47&gt;0,AR47&gt;0)),"BREACH","")</f>
        <v/>
      </c>
      <c r="AV47" s="13">
        <f>Params!$B$40+IF(AI47&lt;0,0,X47)*Params!$B$41-(AM47+AL47)*Params!$B$42</f>
        <v/>
      </c>
      <c r="AW47" s="9">
        <f>MAX(0,MIN(100,AW46-IF(AV47&lt;Params!$B$44,(Params!$B$44-AV47)*Params!$B$45,0)-IF(AJ47&lt;0,Params!$B$54,0)-IF(AU47="BREACH",Params!$B$53,0)-IF(T47="DARK",Params!$B$55,0)))</f>
        <v/>
      </c>
      <c r="AX47" s="8">
        <f>IF(AW47&lt;=0,"DEAD",TRIM(IF(V47&lt;0,"OVERWORK ","")&amp;IF(W47&lt;0,"NO-DAYLIGHT ","")&amp;IF(AG47&lt;0,"NO-LOGS ","")&amp;IF(AH47&lt;0,"NO-BOARDS ","")&amp;IF(AI47&lt;0,"NO-FUEL ","")&amp;IF(AJ47&lt;0,"HUNGER ","")&amp;AU47&amp;" "&amp;IF(T47="DARK","DARK-TRIP ","")&amp;IF(AV47&lt;Params!$B$44,"COLD","")))</f>
        <v/>
      </c>
    </row>
    <row r="48">
      <c r="A48" s="7" t="n">
        <v>40</v>
      </c>
      <c r="B48" s="8">
        <f>IF(A48&lt;=Params!$B$5,"prep","night")</f>
        <v/>
      </c>
      <c r="C48" s="8">
        <f>MAX(0,A48-Params!$B$5)</f>
        <v/>
      </c>
      <c r="D48" s="9">
        <f>IF(A48&lt;=Params!$B$5,ROUND(Params!$B$7-(Params!$B$7-Params!$B$8)*(A48-1)/(Params!$B$5-1),1),0)</f>
        <v/>
      </c>
      <c r="E48" s="8">
        <f>COUNTIFS(People!$F$2:$F$7,"&lt;="&amp;A48,People!$F$2:$F$7,"&gt;0")</f>
        <v/>
      </c>
      <c r="F48" s="10">
        <f>IF(E48=0,1,SUMIFS(People!$C$2:$C$7,People!$F$2:$F$7,"&lt;="&amp;A48,People!$F$2:$F$7,"&gt;0")/E48)</f>
        <v/>
      </c>
      <c r="G48" s="9">
        <f>E48*Params!$B$9</f>
        <v/>
      </c>
      <c r="H48" s="11" t="n">
        <v>0</v>
      </c>
      <c r="I48" s="11" t="n">
        <v>0</v>
      </c>
      <c r="J48" s="11" t="n">
        <v>1</v>
      </c>
      <c r="K48" s="12" t="n">
        <v>0</v>
      </c>
      <c r="L48" s="12" t="n">
        <v>0</v>
      </c>
      <c r="M48" s="12" t="n">
        <v>0</v>
      </c>
      <c r="N48" s="12" t="n"/>
      <c r="O48" s="12" t="n"/>
      <c r="P48" s="12" t="n"/>
      <c r="Q48" s="12" t="n"/>
      <c r="R48" s="9">
        <f>IF(N48="",0,(2*INDEX(Houses!$D$2:$D$18,MATCH(N48,Houses!$A$2:$A$18,0))+Params!$B$57)/IF(O48="",1,INDEX(People!$D$2:$D$7,MATCH(O48,People!$A$2:$A$7,0))))</f>
        <v/>
      </c>
      <c r="S48" s="9">
        <f>IF(P48="",0,(2*INDEX(Houses!$D$2:$D$18,MATCH(P48,Houses!$A$2:$A$18,0))+Params!$B$57)/IF(Q48="",1,INDEX(People!$D$2:$D$7,MATCH(Q48,People!$A$2:$A$7,0))))</f>
        <v/>
      </c>
      <c r="T48" s="8">
        <f>IF(AND(N48="",P48=""),"",IF(MAX(R48,S48)&lt;=D48,"ok","DARK"))</f>
        <v/>
      </c>
      <c r="U48" s="9">
        <f>H48+I48+J48+K48*Params!$B$32+L48*Params!$B$34+M48*Params!$B$37+R48+S48</f>
        <v/>
      </c>
      <c r="V48" s="9">
        <f>G48-U48</f>
        <v/>
      </c>
      <c r="W48" s="9">
        <f>D48*E48-(H48+R48+S48)</f>
        <v/>
      </c>
      <c r="X48" s="12" t="n">
        <v>1</v>
      </c>
      <c r="Y48" s="8">
        <f>IF(N48="",0,IF(O48="",8,INDEX(People!$E$2:$E$7,MATCH(O48,People!$A$2:$A$7,0))))</f>
        <v/>
      </c>
      <c r="Z48" s="8">
        <f>IF(N48="",0,MAX(0,MIN(INDEX(Houses!$E$2:$E$18,MATCH(N48,Houses!$A$2:$A$18,0))-IF(INDEX(Houses!$H$2:$H$18,MATCH(N48,Houses!$A$2:$A$18,0))=1,SUMIF($N$8:N47,N48,$Z$8:Z47)+SUMIF($P$8:P47,N48,$AD$8:AD47),0),Y48)))</f>
        <v/>
      </c>
      <c r="AA48" s="8">
        <f>IF(N48="",0,MAX(0,MIN(INDEX(Houses!$F$2:$F$18,MATCH(N48,Houses!$A$2:$A$18,0))-IF(INDEX(Houses!$H$2:$H$18,MATCH(N48,Houses!$A$2:$A$18,0))=1,SUMIF($N$8:N47,N48,$AA$8:AA47)+SUMIF($P$8:P47,N48,$AE$8:AE47),0),INT((Y48-Z48)/2))))</f>
        <v/>
      </c>
      <c r="AB48" s="8">
        <f>IF(N48="",0,MAX(0,INDEX(Houses!$G$2:$G$18,MATCH(N48,Houses!$A$2:$A$18,0))-IF(INDEX(Houses!$H$2:$H$18,MATCH(N48,Houses!$A$2:$A$18,0))=1,SUMIF($N$8:N47,N48,$AB$8:AB47)+SUMIF($P$8:P47,N48,$AF$8:AF47),0)))</f>
        <v/>
      </c>
      <c r="AC48" s="8">
        <f>IF(P48="",0,IF(Q48="",8,INDEX(People!$E$2:$E$7,MATCH(Q48,People!$A$2:$A$7,0))))</f>
        <v/>
      </c>
      <c r="AD48" s="8">
        <f>IF(P48="",0,MAX(0,MIN(INDEX(Houses!$E$2:$E$18,MATCH(P48,Houses!$A$2:$A$18,0))-IF(INDEX(Houses!$H$2:$H$18,MATCH(P48,Houses!$A$2:$A$18,0))=1,SUMIF($P$8:P47,P48,$AD$8:AD47)+SUMIF($N$8:N47,P48,$Z$8:Z47)+IF(N48=P48,Z48,0),0),AC48)))</f>
        <v/>
      </c>
      <c r="AE48" s="8">
        <f>IF(P48="",0,MAX(0,MIN(INDEX(Houses!$F$2:$F$18,MATCH(P48,Houses!$A$2:$A$18,0))-IF(INDEX(Houses!$H$2:$H$18,MATCH(P48,Houses!$A$2:$A$18,0))=1,SUMIF($P$8:P47,P48,$AE$8:AE47)+SUMIF($N$8:N47,P48,$AA$8:AA47)+IF(N48=P48,AA48,0),0),INT((AC48-AD48)/2))))</f>
        <v/>
      </c>
      <c r="AF48" s="8">
        <f>IF(P48="",0,MAX(0,INDEX(Houses!$G$2:$G$18,MATCH(P48,Houses!$A$2:$A$18,0))-IF(INDEX(Houses!$H$2:$H$18,MATCH(P48,Houses!$A$2:$A$18,0))=1,SUMIF($P$8:P47,P48,$AF$8:AF47)+SUMIF($N$8:N47,P48,$AB$8:AB47)+IF(N48=P48,AB48,0),0)))</f>
        <v/>
      </c>
      <c r="AG48" s="9">
        <f>AG47+H48*Params!$B$24*F48-I48*Params!$B$25-J48*Params!$B$27</f>
        <v/>
      </c>
      <c r="AH48" s="9">
        <f>AH47+I48*Params!$B$25*Params!$B$26-K48*Params!$B$31-L48*Params!$B$33-M48*Params!$B$36+AA48+AE48</f>
        <v/>
      </c>
      <c r="AI48" s="9">
        <f>AI47+J48*Params!$B$27*Params!$B$28-X48*Params!$B$43*24</f>
        <v/>
      </c>
      <c r="AJ48" s="9">
        <f>AJ47-E48*Params!$B$22+Z48+AD48</f>
        <v/>
      </c>
      <c r="AK48" s="8">
        <f>AK47+AB48+AF48</f>
        <v/>
      </c>
      <c r="AL48" s="8">
        <f>MAX(0,AL47-M48)</f>
        <v/>
      </c>
      <c r="AM48" s="8">
        <f>MAX(0,AT47-K48)</f>
        <v/>
      </c>
      <c r="AN48" s="9">
        <f>AQ47+L48*Params!$B$35</f>
        <v/>
      </c>
      <c r="AO48" s="8">
        <f>IF(C48=0,0,INDEX(Nights!$B$2:$B$31,C48))</f>
        <v/>
      </c>
      <c r="AP48" s="9">
        <f>AO48*Params!$B$51*Params!$B$50</f>
        <v/>
      </c>
      <c r="AQ48" s="9">
        <f>MAX(0,AN48-AP48)</f>
        <v/>
      </c>
      <c r="AR48" s="8">
        <f>INT((AS47+MAX(0,AP48-AN48))/Params!$B$30)</f>
        <v/>
      </c>
      <c r="AS48" s="9">
        <f>(AS47+MAX(0,AP48-AN48))-AR48*Params!$B$30</f>
        <v/>
      </c>
      <c r="AT48" s="8">
        <f>AM48+AR48</f>
        <v/>
      </c>
      <c r="AU48" s="8">
        <f>IF(AND(AO48&gt;0,OR(AM48+AL48&gt;0,AR48&gt;0)),"BREACH","")</f>
        <v/>
      </c>
      <c r="AV48" s="13">
        <f>Params!$B$40+IF(AI48&lt;0,0,X48)*Params!$B$41-(AM48+AL48)*Params!$B$42</f>
        <v/>
      </c>
      <c r="AW48" s="9">
        <f>MAX(0,MIN(100,AW47-IF(AV48&lt;Params!$B$44,(Params!$B$44-AV48)*Params!$B$45,0)-IF(AJ48&lt;0,Params!$B$54,0)-IF(AU48="BREACH",Params!$B$53,0)-IF(T48="DARK",Params!$B$55,0)))</f>
        <v/>
      </c>
      <c r="AX48" s="8">
        <f>IF(AW48&lt;=0,"DEAD",TRIM(IF(V48&lt;0,"OVERWORK ","")&amp;IF(W48&lt;0,"NO-DAYLIGHT ","")&amp;IF(AG48&lt;0,"NO-LOGS ","")&amp;IF(AH48&lt;0,"NO-BOARDS ","")&amp;IF(AI48&lt;0,"NO-FUEL ","")&amp;IF(AJ48&lt;0,"HUNGER ","")&amp;AU48&amp;" "&amp;IF(T48="DARK","DARK-TRIP ","")&amp;IF(AV48&lt;Params!$B$44,"COLD","")))</f>
        <v/>
      </c>
    </row>
    <row r="49">
      <c r="A49" s="7" t="n">
        <v>41</v>
      </c>
      <c r="B49" s="8">
        <f>IF(A49&lt;=Params!$B$5,"prep","night")</f>
        <v/>
      </c>
      <c r="C49" s="8">
        <f>MAX(0,A49-Params!$B$5)</f>
        <v/>
      </c>
      <c r="D49" s="9">
        <f>IF(A49&lt;=Params!$B$5,ROUND(Params!$B$7-(Params!$B$7-Params!$B$8)*(A49-1)/(Params!$B$5-1),1),0)</f>
        <v/>
      </c>
      <c r="E49" s="8">
        <f>COUNTIFS(People!$F$2:$F$7,"&lt;="&amp;A49,People!$F$2:$F$7,"&gt;0")</f>
        <v/>
      </c>
      <c r="F49" s="10">
        <f>IF(E49=0,1,SUMIFS(People!$C$2:$C$7,People!$F$2:$F$7,"&lt;="&amp;A49,People!$F$2:$F$7,"&gt;0")/E49)</f>
        <v/>
      </c>
      <c r="G49" s="9">
        <f>E49*Params!$B$9</f>
        <v/>
      </c>
      <c r="H49" s="11" t="n">
        <v>0</v>
      </c>
      <c r="I49" s="11" t="n">
        <v>1</v>
      </c>
      <c r="J49" s="11" t="n">
        <v>0</v>
      </c>
      <c r="K49" s="12" t="n">
        <v>0</v>
      </c>
      <c r="L49" s="12" t="n">
        <v>4</v>
      </c>
      <c r="M49" s="12" t="n">
        <v>0</v>
      </c>
      <c r="N49" s="12" t="n"/>
      <c r="O49" s="12" t="n"/>
      <c r="P49" s="12" t="n"/>
      <c r="Q49" s="12" t="n"/>
      <c r="R49" s="9">
        <f>IF(N49="",0,(2*INDEX(Houses!$D$2:$D$18,MATCH(N49,Houses!$A$2:$A$18,0))+Params!$B$57)/IF(O49="",1,INDEX(People!$D$2:$D$7,MATCH(O49,People!$A$2:$A$7,0))))</f>
        <v/>
      </c>
      <c r="S49" s="9">
        <f>IF(P49="",0,(2*INDEX(Houses!$D$2:$D$18,MATCH(P49,Houses!$A$2:$A$18,0))+Params!$B$57)/IF(Q49="",1,INDEX(People!$D$2:$D$7,MATCH(Q49,People!$A$2:$A$7,0))))</f>
        <v/>
      </c>
      <c r="T49" s="8">
        <f>IF(AND(N49="",P49=""),"",IF(MAX(R49,S49)&lt;=D49,"ok","DARK"))</f>
        <v/>
      </c>
      <c r="U49" s="9">
        <f>H49+I49+J49+K49*Params!$B$32+L49*Params!$B$34+M49*Params!$B$37+R49+S49</f>
        <v/>
      </c>
      <c r="V49" s="9">
        <f>G49-U49</f>
        <v/>
      </c>
      <c r="W49" s="9">
        <f>D49*E49-(H49+R49+S49)</f>
        <v/>
      </c>
      <c r="X49" s="12" t="n">
        <v>1</v>
      </c>
      <c r="Y49" s="8">
        <f>IF(N49="",0,IF(O49="",8,INDEX(People!$E$2:$E$7,MATCH(O49,People!$A$2:$A$7,0))))</f>
        <v/>
      </c>
      <c r="Z49" s="8">
        <f>IF(N49="",0,MAX(0,MIN(INDEX(Houses!$E$2:$E$18,MATCH(N49,Houses!$A$2:$A$18,0))-IF(INDEX(Houses!$H$2:$H$18,MATCH(N49,Houses!$A$2:$A$18,0))=1,SUMIF($N$8:N48,N49,$Z$8:Z48)+SUMIF($P$8:P48,N49,$AD$8:AD48),0),Y49)))</f>
        <v/>
      </c>
      <c r="AA49" s="8">
        <f>IF(N49="",0,MAX(0,MIN(INDEX(Houses!$F$2:$F$18,MATCH(N49,Houses!$A$2:$A$18,0))-IF(INDEX(Houses!$H$2:$H$18,MATCH(N49,Houses!$A$2:$A$18,0))=1,SUMIF($N$8:N48,N49,$AA$8:AA48)+SUMIF($P$8:P48,N49,$AE$8:AE48),0),INT((Y49-Z49)/2))))</f>
        <v/>
      </c>
      <c r="AB49" s="8">
        <f>IF(N49="",0,MAX(0,INDEX(Houses!$G$2:$G$18,MATCH(N49,Houses!$A$2:$A$18,0))-IF(INDEX(Houses!$H$2:$H$18,MATCH(N49,Houses!$A$2:$A$18,0))=1,SUMIF($N$8:N48,N49,$AB$8:AB48)+SUMIF($P$8:P48,N49,$AF$8:AF48),0)))</f>
        <v/>
      </c>
      <c r="AC49" s="8">
        <f>IF(P49="",0,IF(Q49="",8,INDEX(People!$E$2:$E$7,MATCH(Q49,People!$A$2:$A$7,0))))</f>
        <v/>
      </c>
      <c r="AD49" s="8">
        <f>IF(P49="",0,MAX(0,MIN(INDEX(Houses!$E$2:$E$18,MATCH(P49,Houses!$A$2:$A$18,0))-IF(INDEX(Houses!$H$2:$H$18,MATCH(P49,Houses!$A$2:$A$18,0))=1,SUMIF($P$8:P48,P49,$AD$8:AD48)+SUMIF($N$8:N48,P49,$Z$8:Z48)+IF(N49=P49,Z49,0),0),AC49)))</f>
        <v/>
      </c>
      <c r="AE49" s="8">
        <f>IF(P49="",0,MAX(0,MIN(INDEX(Houses!$F$2:$F$18,MATCH(P49,Houses!$A$2:$A$18,0))-IF(INDEX(Houses!$H$2:$H$18,MATCH(P49,Houses!$A$2:$A$18,0))=1,SUMIF($P$8:P48,P49,$AE$8:AE48)+SUMIF($N$8:N48,P49,$AA$8:AA48)+IF(N49=P49,AA49,0),0),INT((AC49-AD49)/2))))</f>
        <v/>
      </c>
      <c r="AF49" s="8">
        <f>IF(P49="",0,MAX(0,INDEX(Houses!$G$2:$G$18,MATCH(P49,Houses!$A$2:$A$18,0))-IF(INDEX(Houses!$H$2:$H$18,MATCH(P49,Houses!$A$2:$A$18,0))=1,SUMIF($P$8:P48,P49,$AF$8:AF48)+SUMIF($N$8:N48,P49,$AB$8:AB48)+IF(N49=P49,AB49,0),0)))</f>
        <v/>
      </c>
      <c r="AG49" s="9">
        <f>AG48+H49*Params!$B$24*F49-I49*Params!$B$25-J49*Params!$B$27</f>
        <v/>
      </c>
      <c r="AH49" s="9">
        <f>AH48+I49*Params!$B$25*Params!$B$26-K49*Params!$B$31-L49*Params!$B$33-M49*Params!$B$36+AA49+AE49</f>
        <v/>
      </c>
      <c r="AI49" s="9">
        <f>AI48+J49*Params!$B$27*Params!$B$28-X49*Params!$B$43*24</f>
        <v/>
      </c>
      <c r="AJ49" s="9">
        <f>AJ48-E49*Params!$B$22+Z49+AD49</f>
        <v/>
      </c>
      <c r="AK49" s="8">
        <f>AK48+AB49+AF49</f>
        <v/>
      </c>
      <c r="AL49" s="8">
        <f>MAX(0,AL48-M49)</f>
        <v/>
      </c>
      <c r="AM49" s="8">
        <f>MAX(0,AT48-K49)</f>
        <v/>
      </c>
      <c r="AN49" s="9">
        <f>AQ48+L49*Params!$B$35</f>
        <v/>
      </c>
      <c r="AO49" s="8">
        <f>IF(C49=0,0,INDEX(Nights!$B$2:$B$31,C49))</f>
        <v/>
      </c>
      <c r="AP49" s="9">
        <f>AO49*Params!$B$51*Params!$B$50</f>
        <v/>
      </c>
      <c r="AQ49" s="9">
        <f>MAX(0,AN49-AP49)</f>
        <v/>
      </c>
      <c r="AR49" s="8">
        <f>INT((AS48+MAX(0,AP49-AN49))/Params!$B$30)</f>
        <v/>
      </c>
      <c r="AS49" s="9">
        <f>(AS48+MAX(0,AP49-AN49))-AR49*Params!$B$30</f>
        <v/>
      </c>
      <c r="AT49" s="8">
        <f>AM49+AR49</f>
        <v/>
      </c>
      <c r="AU49" s="8">
        <f>IF(AND(AO49&gt;0,OR(AM49+AL49&gt;0,AR49&gt;0)),"BREACH","")</f>
        <v/>
      </c>
      <c r="AV49" s="13">
        <f>Params!$B$40+IF(AI49&lt;0,0,X49)*Params!$B$41-(AM49+AL49)*Params!$B$42</f>
        <v/>
      </c>
      <c r="AW49" s="9">
        <f>MAX(0,MIN(100,AW48-IF(AV49&lt;Params!$B$44,(Params!$B$44-AV49)*Params!$B$45,0)-IF(AJ49&lt;0,Params!$B$54,0)-IF(AU49="BREACH",Params!$B$53,0)-IF(T49="DARK",Params!$B$55,0)))</f>
        <v/>
      </c>
      <c r="AX49" s="8">
        <f>IF(AW49&lt;=0,"DEAD",TRIM(IF(V49&lt;0,"OVERWORK ","")&amp;IF(W49&lt;0,"NO-DAYLIGHT ","")&amp;IF(AG49&lt;0,"NO-LOGS ","")&amp;IF(AH49&lt;0,"NO-BOARDS ","")&amp;IF(AI49&lt;0,"NO-FUEL ","")&amp;IF(AJ49&lt;0,"HUNGER ","")&amp;AU49&amp;" "&amp;IF(T49="DARK","DARK-TRIP ","")&amp;IF(AV49&lt;Params!$B$44,"COLD","")))</f>
        <v/>
      </c>
    </row>
    <row r="50">
      <c r="A50" s="7" t="n">
        <v>42</v>
      </c>
      <c r="B50" s="8">
        <f>IF(A50&lt;=Params!$B$5,"prep","night")</f>
        <v/>
      </c>
      <c r="C50" s="8">
        <f>MAX(0,A50-Params!$B$5)</f>
        <v/>
      </c>
      <c r="D50" s="9">
        <f>IF(A50&lt;=Params!$B$5,ROUND(Params!$B$7-(Params!$B$7-Params!$B$8)*(A50-1)/(Params!$B$5-1),1),0)</f>
        <v/>
      </c>
      <c r="E50" s="8">
        <f>COUNTIFS(People!$F$2:$F$7,"&lt;="&amp;A50,People!$F$2:$F$7,"&gt;0")</f>
        <v/>
      </c>
      <c r="F50" s="10">
        <f>IF(E50=0,1,SUMIFS(People!$C$2:$C$7,People!$F$2:$F$7,"&lt;="&amp;A50,People!$F$2:$F$7,"&gt;0")/E50)</f>
        <v/>
      </c>
      <c r="G50" s="9">
        <f>E50*Params!$B$9</f>
        <v/>
      </c>
      <c r="H50" s="11" t="n">
        <v>0</v>
      </c>
      <c r="I50" s="11" t="n">
        <v>0</v>
      </c>
      <c r="J50" s="11" t="n">
        <v>0</v>
      </c>
      <c r="K50" s="12" t="n">
        <v>1</v>
      </c>
      <c r="L50" s="12" t="n">
        <v>0</v>
      </c>
      <c r="M50" s="12" t="n">
        <v>0</v>
      </c>
      <c r="N50" s="12" t="n"/>
      <c r="O50" s="12" t="n"/>
      <c r="P50" s="12" t="n"/>
      <c r="Q50" s="12" t="n"/>
      <c r="R50" s="9">
        <f>IF(N50="",0,(2*INDEX(Houses!$D$2:$D$18,MATCH(N50,Houses!$A$2:$A$18,0))+Params!$B$57)/IF(O50="",1,INDEX(People!$D$2:$D$7,MATCH(O50,People!$A$2:$A$7,0))))</f>
        <v/>
      </c>
      <c r="S50" s="9">
        <f>IF(P50="",0,(2*INDEX(Houses!$D$2:$D$18,MATCH(P50,Houses!$A$2:$A$18,0))+Params!$B$57)/IF(Q50="",1,INDEX(People!$D$2:$D$7,MATCH(Q50,People!$A$2:$A$7,0))))</f>
        <v/>
      </c>
      <c r="T50" s="8">
        <f>IF(AND(N50="",P50=""),"",IF(MAX(R50,S50)&lt;=D50,"ok","DARK"))</f>
        <v/>
      </c>
      <c r="U50" s="9">
        <f>H50+I50+J50+K50*Params!$B$32+L50*Params!$B$34+M50*Params!$B$37+R50+S50</f>
        <v/>
      </c>
      <c r="V50" s="9">
        <f>G50-U50</f>
        <v/>
      </c>
      <c r="W50" s="9">
        <f>D50*E50-(H50+R50+S50)</f>
        <v/>
      </c>
      <c r="X50" s="12" t="n">
        <v>1</v>
      </c>
      <c r="Y50" s="8">
        <f>IF(N50="",0,IF(O50="",8,INDEX(People!$E$2:$E$7,MATCH(O50,People!$A$2:$A$7,0))))</f>
        <v/>
      </c>
      <c r="Z50" s="8">
        <f>IF(N50="",0,MAX(0,MIN(INDEX(Houses!$E$2:$E$18,MATCH(N50,Houses!$A$2:$A$18,0))-IF(INDEX(Houses!$H$2:$H$18,MATCH(N50,Houses!$A$2:$A$18,0))=1,SUMIF($N$8:N49,N50,$Z$8:Z49)+SUMIF($P$8:P49,N50,$AD$8:AD49),0),Y50)))</f>
        <v/>
      </c>
      <c r="AA50" s="8">
        <f>IF(N50="",0,MAX(0,MIN(INDEX(Houses!$F$2:$F$18,MATCH(N50,Houses!$A$2:$A$18,0))-IF(INDEX(Houses!$H$2:$H$18,MATCH(N50,Houses!$A$2:$A$18,0))=1,SUMIF($N$8:N49,N50,$AA$8:AA49)+SUMIF($P$8:P49,N50,$AE$8:AE49),0),INT((Y50-Z50)/2))))</f>
        <v/>
      </c>
      <c r="AB50" s="8">
        <f>IF(N50="",0,MAX(0,INDEX(Houses!$G$2:$G$18,MATCH(N50,Houses!$A$2:$A$18,0))-IF(INDEX(Houses!$H$2:$H$18,MATCH(N50,Houses!$A$2:$A$18,0))=1,SUMIF($N$8:N49,N50,$AB$8:AB49)+SUMIF($P$8:P49,N50,$AF$8:AF49),0)))</f>
        <v/>
      </c>
      <c r="AC50" s="8">
        <f>IF(P50="",0,IF(Q50="",8,INDEX(People!$E$2:$E$7,MATCH(Q50,People!$A$2:$A$7,0))))</f>
        <v/>
      </c>
      <c r="AD50" s="8">
        <f>IF(P50="",0,MAX(0,MIN(INDEX(Houses!$E$2:$E$18,MATCH(P50,Houses!$A$2:$A$18,0))-IF(INDEX(Houses!$H$2:$H$18,MATCH(P50,Houses!$A$2:$A$18,0))=1,SUMIF($P$8:P49,P50,$AD$8:AD49)+SUMIF($N$8:N49,P50,$Z$8:Z49)+IF(N50=P50,Z50,0),0),AC50)))</f>
        <v/>
      </c>
      <c r="AE50" s="8">
        <f>IF(P50="",0,MAX(0,MIN(INDEX(Houses!$F$2:$F$18,MATCH(P50,Houses!$A$2:$A$18,0))-IF(INDEX(Houses!$H$2:$H$18,MATCH(P50,Houses!$A$2:$A$18,0))=1,SUMIF($P$8:P49,P50,$AE$8:AE49)+SUMIF($N$8:N49,P50,$AA$8:AA49)+IF(N50=P50,AA50,0),0),INT((AC50-AD50)/2))))</f>
        <v/>
      </c>
      <c r="AF50" s="8">
        <f>IF(P50="",0,MAX(0,INDEX(Houses!$G$2:$G$18,MATCH(P50,Houses!$A$2:$A$18,0))-IF(INDEX(Houses!$H$2:$H$18,MATCH(P50,Houses!$A$2:$A$18,0))=1,SUMIF($P$8:P49,P50,$AF$8:AF49)+SUMIF($N$8:N49,P50,$AB$8:AB49)+IF(N50=P50,AB50,0),0)))</f>
        <v/>
      </c>
      <c r="AG50" s="9">
        <f>AG49+H50*Params!$B$24*F50-I50*Params!$B$25-J50*Params!$B$27</f>
        <v/>
      </c>
      <c r="AH50" s="9">
        <f>AH49+I50*Params!$B$25*Params!$B$26-K50*Params!$B$31-L50*Params!$B$33-M50*Params!$B$36+AA50+AE50</f>
        <v/>
      </c>
      <c r="AI50" s="9">
        <f>AI49+J50*Params!$B$27*Params!$B$28-X50*Params!$B$43*24</f>
        <v/>
      </c>
      <c r="AJ50" s="9">
        <f>AJ49-E50*Params!$B$22+Z50+AD50</f>
        <v/>
      </c>
      <c r="AK50" s="8">
        <f>AK49+AB50+AF50</f>
        <v/>
      </c>
      <c r="AL50" s="8">
        <f>MAX(0,AL49-M50)</f>
        <v/>
      </c>
      <c r="AM50" s="8">
        <f>MAX(0,AT49-K50)</f>
        <v/>
      </c>
      <c r="AN50" s="9">
        <f>AQ49+L50*Params!$B$35</f>
        <v/>
      </c>
      <c r="AO50" s="8">
        <f>IF(C50=0,0,INDEX(Nights!$B$2:$B$31,C50))</f>
        <v/>
      </c>
      <c r="AP50" s="9">
        <f>AO50*Params!$B$51*Params!$B$50</f>
        <v/>
      </c>
      <c r="AQ50" s="9">
        <f>MAX(0,AN50-AP50)</f>
        <v/>
      </c>
      <c r="AR50" s="8">
        <f>INT((AS49+MAX(0,AP50-AN50))/Params!$B$30)</f>
        <v/>
      </c>
      <c r="AS50" s="9">
        <f>(AS49+MAX(0,AP50-AN50))-AR50*Params!$B$30</f>
        <v/>
      </c>
      <c r="AT50" s="8">
        <f>AM50+AR50</f>
        <v/>
      </c>
      <c r="AU50" s="8">
        <f>IF(AND(AO50&gt;0,OR(AM50+AL50&gt;0,AR50&gt;0)),"BREACH","")</f>
        <v/>
      </c>
      <c r="AV50" s="13">
        <f>Params!$B$40+IF(AI50&lt;0,0,X50)*Params!$B$41-(AM50+AL50)*Params!$B$42</f>
        <v/>
      </c>
      <c r="AW50" s="9">
        <f>MAX(0,MIN(100,AW49-IF(AV50&lt;Params!$B$44,(Params!$B$44-AV50)*Params!$B$45,0)-IF(AJ50&lt;0,Params!$B$54,0)-IF(AU50="BREACH",Params!$B$53,0)-IF(T50="DARK",Params!$B$55,0)))</f>
        <v/>
      </c>
      <c r="AX50" s="8">
        <f>IF(AW50&lt;=0,"DEAD",TRIM(IF(V50&lt;0,"OVERWORK ","")&amp;IF(W50&lt;0,"NO-DAYLIGHT ","")&amp;IF(AG50&lt;0,"NO-LOGS ","")&amp;IF(AH50&lt;0,"NO-BOARDS ","")&amp;IF(AI50&lt;0,"NO-FUEL ","")&amp;IF(AJ50&lt;0,"HUNGER ","")&amp;AU50&amp;" "&amp;IF(T50="DARK","DARK-TRIP ","")&amp;IF(AV50&lt;Params!$B$44,"COLD","")))</f>
        <v/>
      </c>
    </row>
    <row r="51">
      <c r="A51" s="7" t="n">
        <v>43</v>
      </c>
      <c r="B51" s="8">
        <f>IF(A51&lt;=Params!$B$5,"prep","night")</f>
        <v/>
      </c>
      <c r="C51" s="8">
        <f>MAX(0,A51-Params!$B$5)</f>
        <v/>
      </c>
      <c r="D51" s="9">
        <f>IF(A51&lt;=Params!$B$5,ROUND(Params!$B$7-(Params!$B$7-Params!$B$8)*(A51-1)/(Params!$B$5-1),1),0)</f>
        <v/>
      </c>
      <c r="E51" s="8">
        <f>COUNTIFS(People!$F$2:$F$7,"&lt;="&amp;A51,People!$F$2:$F$7,"&gt;0")</f>
        <v/>
      </c>
      <c r="F51" s="10">
        <f>IF(E51=0,1,SUMIFS(People!$C$2:$C$7,People!$F$2:$F$7,"&lt;="&amp;A51,People!$F$2:$F$7,"&gt;0")/E51)</f>
        <v/>
      </c>
      <c r="G51" s="9">
        <f>E51*Params!$B$9</f>
        <v/>
      </c>
      <c r="H51" s="11" t="n">
        <v>0</v>
      </c>
      <c r="I51" s="11" t="n">
        <v>0</v>
      </c>
      <c r="J51" s="11" t="n">
        <v>0</v>
      </c>
      <c r="K51" s="12" t="n">
        <v>0</v>
      </c>
      <c r="L51" s="12" t="n">
        <v>0</v>
      </c>
      <c r="M51" s="12" t="n">
        <v>0</v>
      </c>
      <c r="N51" s="12" t="n"/>
      <c r="O51" s="12" t="n"/>
      <c r="P51" s="12" t="n"/>
      <c r="Q51" s="12" t="n"/>
      <c r="R51" s="9">
        <f>IF(N51="",0,(2*INDEX(Houses!$D$2:$D$18,MATCH(N51,Houses!$A$2:$A$18,0))+Params!$B$57)/IF(O51="",1,INDEX(People!$D$2:$D$7,MATCH(O51,People!$A$2:$A$7,0))))</f>
        <v/>
      </c>
      <c r="S51" s="9">
        <f>IF(P51="",0,(2*INDEX(Houses!$D$2:$D$18,MATCH(P51,Houses!$A$2:$A$18,0))+Params!$B$57)/IF(Q51="",1,INDEX(People!$D$2:$D$7,MATCH(Q51,People!$A$2:$A$7,0))))</f>
        <v/>
      </c>
      <c r="T51" s="8">
        <f>IF(AND(N51="",P51=""),"",IF(MAX(R51,S51)&lt;=D51,"ok","DARK"))</f>
        <v/>
      </c>
      <c r="U51" s="9">
        <f>H51+I51+J51+K51*Params!$B$32+L51*Params!$B$34+M51*Params!$B$37+R51+S51</f>
        <v/>
      </c>
      <c r="V51" s="9">
        <f>G51-U51</f>
        <v/>
      </c>
      <c r="W51" s="9">
        <f>D51*E51-(H51+R51+S51)</f>
        <v/>
      </c>
      <c r="X51" s="12" t="n">
        <v>1</v>
      </c>
      <c r="Y51" s="8">
        <f>IF(N51="",0,IF(O51="",8,INDEX(People!$E$2:$E$7,MATCH(O51,People!$A$2:$A$7,0))))</f>
        <v/>
      </c>
      <c r="Z51" s="8">
        <f>IF(N51="",0,MAX(0,MIN(INDEX(Houses!$E$2:$E$18,MATCH(N51,Houses!$A$2:$A$18,0))-IF(INDEX(Houses!$H$2:$H$18,MATCH(N51,Houses!$A$2:$A$18,0))=1,SUMIF($N$8:N50,N51,$Z$8:Z50)+SUMIF($P$8:P50,N51,$AD$8:AD50),0),Y51)))</f>
        <v/>
      </c>
      <c r="AA51" s="8">
        <f>IF(N51="",0,MAX(0,MIN(INDEX(Houses!$F$2:$F$18,MATCH(N51,Houses!$A$2:$A$18,0))-IF(INDEX(Houses!$H$2:$H$18,MATCH(N51,Houses!$A$2:$A$18,0))=1,SUMIF($N$8:N50,N51,$AA$8:AA50)+SUMIF($P$8:P50,N51,$AE$8:AE50),0),INT((Y51-Z51)/2))))</f>
        <v/>
      </c>
      <c r="AB51" s="8">
        <f>IF(N51="",0,MAX(0,INDEX(Houses!$G$2:$G$18,MATCH(N51,Houses!$A$2:$A$18,0))-IF(INDEX(Houses!$H$2:$H$18,MATCH(N51,Houses!$A$2:$A$18,0))=1,SUMIF($N$8:N50,N51,$AB$8:AB50)+SUMIF($P$8:P50,N51,$AF$8:AF50),0)))</f>
        <v/>
      </c>
      <c r="AC51" s="8">
        <f>IF(P51="",0,IF(Q51="",8,INDEX(People!$E$2:$E$7,MATCH(Q51,People!$A$2:$A$7,0))))</f>
        <v/>
      </c>
      <c r="AD51" s="8">
        <f>IF(P51="",0,MAX(0,MIN(INDEX(Houses!$E$2:$E$18,MATCH(P51,Houses!$A$2:$A$18,0))-IF(INDEX(Houses!$H$2:$H$18,MATCH(P51,Houses!$A$2:$A$18,0))=1,SUMIF($P$8:P50,P51,$AD$8:AD50)+SUMIF($N$8:N50,P51,$Z$8:Z50)+IF(N51=P51,Z51,0),0),AC51)))</f>
        <v/>
      </c>
      <c r="AE51" s="8">
        <f>IF(P51="",0,MAX(0,MIN(INDEX(Houses!$F$2:$F$18,MATCH(P51,Houses!$A$2:$A$18,0))-IF(INDEX(Houses!$H$2:$H$18,MATCH(P51,Houses!$A$2:$A$18,0))=1,SUMIF($P$8:P50,P51,$AE$8:AE50)+SUMIF($N$8:N50,P51,$AA$8:AA50)+IF(N51=P51,AA51,0),0),INT((AC51-AD51)/2))))</f>
        <v/>
      </c>
      <c r="AF51" s="8">
        <f>IF(P51="",0,MAX(0,INDEX(Houses!$G$2:$G$18,MATCH(P51,Houses!$A$2:$A$18,0))-IF(INDEX(Houses!$H$2:$H$18,MATCH(P51,Houses!$A$2:$A$18,0))=1,SUMIF($P$8:P50,P51,$AF$8:AF50)+SUMIF($N$8:N50,P51,$AB$8:AB50)+IF(N51=P51,AB51,0),0)))</f>
        <v/>
      </c>
      <c r="AG51" s="9">
        <f>AG50+H51*Params!$B$24*F51-I51*Params!$B$25-J51*Params!$B$27</f>
        <v/>
      </c>
      <c r="AH51" s="9">
        <f>AH50+I51*Params!$B$25*Params!$B$26-K51*Params!$B$31-L51*Params!$B$33-M51*Params!$B$36+AA51+AE51</f>
        <v/>
      </c>
      <c r="AI51" s="9">
        <f>AI50+J51*Params!$B$27*Params!$B$28-X51*Params!$B$43*24</f>
        <v/>
      </c>
      <c r="AJ51" s="9">
        <f>AJ50-E51*Params!$B$22+Z51+AD51</f>
        <v/>
      </c>
      <c r="AK51" s="8">
        <f>AK50+AB51+AF51</f>
        <v/>
      </c>
      <c r="AL51" s="8">
        <f>MAX(0,AL50-M51)</f>
        <v/>
      </c>
      <c r="AM51" s="8">
        <f>MAX(0,AT50-K51)</f>
        <v/>
      </c>
      <c r="AN51" s="9">
        <f>AQ50+L51*Params!$B$35</f>
        <v/>
      </c>
      <c r="AO51" s="8">
        <f>IF(C51=0,0,INDEX(Nights!$B$2:$B$31,C51))</f>
        <v/>
      </c>
      <c r="AP51" s="9">
        <f>AO51*Params!$B$51*Params!$B$50</f>
        <v/>
      </c>
      <c r="AQ51" s="9">
        <f>MAX(0,AN51-AP51)</f>
        <v/>
      </c>
      <c r="AR51" s="8">
        <f>INT((AS50+MAX(0,AP51-AN51))/Params!$B$30)</f>
        <v/>
      </c>
      <c r="AS51" s="9">
        <f>(AS50+MAX(0,AP51-AN51))-AR51*Params!$B$30</f>
        <v/>
      </c>
      <c r="AT51" s="8">
        <f>AM51+AR51</f>
        <v/>
      </c>
      <c r="AU51" s="8">
        <f>IF(AND(AO51&gt;0,OR(AM51+AL51&gt;0,AR51&gt;0)),"BREACH","")</f>
        <v/>
      </c>
      <c r="AV51" s="13">
        <f>Params!$B$40+IF(AI51&lt;0,0,X51)*Params!$B$41-(AM51+AL51)*Params!$B$42</f>
        <v/>
      </c>
      <c r="AW51" s="9">
        <f>MAX(0,MIN(100,AW50-IF(AV51&lt;Params!$B$44,(Params!$B$44-AV51)*Params!$B$45,0)-IF(AJ51&lt;0,Params!$B$54,0)-IF(AU51="BREACH",Params!$B$53,0)-IF(T51="DARK",Params!$B$55,0)))</f>
        <v/>
      </c>
      <c r="AX51" s="8">
        <f>IF(AW51&lt;=0,"DEAD",TRIM(IF(V51&lt;0,"OVERWORK ","")&amp;IF(W51&lt;0,"NO-DAYLIGHT ","")&amp;IF(AG51&lt;0,"NO-LOGS ","")&amp;IF(AH51&lt;0,"NO-BOARDS ","")&amp;IF(AI51&lt;0,"NO-FUEL ","")&amp;IF(AJ51&lt;0,"HUNGER ","")&amp;AU51&amp;" "&amp;IF(T51="DARK","DARK-TRIP ","")&amp;IF(AV51&lt;Params!$B$44,"COLD","")))</f>
        <v/>
      </c>
    </row>
    <row r="52">
      <c r="A52" s="7" t="n">
        <v>44</v>
      </c>
      <c r="B52" s="8">
        <f>IF(A52&lt;=Params!$B$5,"prep","night")</f>
        <v/>
      </c>
      <c r="C52" s="8">
        <f>MAX(0,A52-Params!$B$5)</f>
        <v/>
      </c>
      <c r="D52" s="9">
        <f>IF(A52&lt;=Params!$B$5,ROUND(Params!$B$7-(Params!$B$7-Params!$B$8)*(A52-1)/(Params!$B$5-1),1),0)</f>
        <v/>
      </c>
      <c r="E52" s="8">
        <f>COUNTIFS(People!$F$2:$F$7,"&lt;="&amp;A52,People!$F$2:$F$7,"&gt;0")</f>
        <v/>
      </c>
      <c r="F52" s="10">
        <f>IF(E52=0,1,SUMIFS(People!$C$2:$C$7,People!$F$2:$F$7,"&lt;="&amp;A52,People!$F$2:$F$7,"&gt;0")/E52)</f>
        <v/>
      </c>
      <c r="G52" s="9">
        <f>E52*Params!$B$9</f>
        <v/>
      </c>
      <c r="H52" s="11" t="n">
        <v>0</v>
      </c>
      <c r="I52" s="11" t="n">
        <v>0</v>
      </c>
      <c r="J52" s="11" t="n">
        <v>0</v>
      </c>
      <c r="K52" s="12" t="n">
        <v>0</v>
      </c>
      <c r="L52" s="12" t="n">
        <v>0</v>
      </c>
      <c r="M52" s="12" t="n">
        <v>0</v>
      </c>
      <c r="N52" s="12" t="n"/>
      <c r="O52" s="12" t="n"/>
      <c r="P52" s="12" t="n"/>
      <c r="Q52" s="12" t="n"/>
      <c r="R52" s="9">
        <f>IF(N52="",0,(2*INDEX(Houses!$D$2:$D$18,MATCH(N52,Houses!$A$2:$A$18,0))+Params!$B$57)/IF(O52="",1,INDEX(People!$D$2:$D$7,MATCH(O52,People!$A$2:$A$7,0))))</f>
        <v/>
      </c>
      <c r="S52" s="9">
        <f>IF(P52="",0,(2*INDEX(Houses!$D$2:$D$18,MATCH(P52,Houses!$A$2:$A$18,0))+Params!$B$57)/IF(Q52="",1,INDEX(People!$D$2:$D$7,MATCH(Q52,People!$A$2:$A$7,0))))</f>
        <v/>
      </c>
      <c r="T52" s="8">
        <f>IF(AND(N52="",P52=""),"",IF(MAX(R52,S52)&lt;=D52,"ok","DARK"))</f>
        <v/>
      </c>
      <c r="U52" s="9">
        <f>H52+I52+J52+K52*Params!$B$32+L52*Params!$B$34+M52*Params!$B$37+R52+S52</f>
        <v/>
      </c>
      <c r="V52" s="9">
        <f>G52-U52</f>
        <v/>
      </c>
      <c r="W52" s="9">
        <f>D52*E52-(H52+R52+S52)</f>
        <v/>
      </c>
      <c r="X52" s="12" t="n">
        <v>1</v>
      </c>
      <c r="Y52" s="8">
        <f>IF(N52="",0,IF(O52="",8,INDEX(People!$E$2:$E$7,MATCH(O52,People!$A$2:$A$7,0))))</f>
        <v/>
      </c>
      <c r="Z52" s="8">
        <f>IF(N52="",0,MAX(0,MIN(INDEX(Houses!$E$2:$E$18,MATCH(N52,Houses!$A$2:$A$18,0))-IF(INDEX(Houses!$H$2:$H$18,MATCH(N52,Houses!$A$2:$A$18,0))=1,SUMIF($N$8:N51,N52,$Z$8:Z51)+SUMIF($P$8:P51,N52,$AD$8:AD51),0),Y52)))</f>
        <v/>
      </c>
      <c r="AA52" s="8">
        <f>IF(N52="",0,MAX(0,MIN(INDEX(Houses!$F$2:$F$18,MATCH(N52,Houses!$A$2:$A$18,0))-IF(INDEX(Houses!$H$2:$H$18,MATCH(N52,Houses!$A$2:$A$18,0))=1,SUMIF($N$8:N51,N52,$AA$8:AA51)+SUMIF($P$8:P51,N52,$AE$8:AE51),0),INT((Y52-Z52)/2))))</f>
        <v/>
      </c>
      <c r="AB52" s="8">
        <f>IF(N52="",0,MAX(0,INDEX(Houses!$G$2:$G$18,MATCH(N52,Houses!$A$2:$A$18,0))-IF(INDEX(Houses!$H$2:$H$18,MATCH(N52,Houses!$A$2:$A$18,0))=1,SUMIF($N$8:N51,N52,$AB$8:AB51)+SUMIF($P$8:P51,N52,$AF$8:AF51),0)))</f>
        <v/>
      </c>
      <c r="AC52" s="8">
        <f>IF(P52="",0,IF(Q52="",8,INDEX(People!$E$2:$E$7,MATCH(Q52,People!$A$2:$A$7,0))))</f>
        <v/>
      </c>
      <c r="AD52" s="8">
        <f>IF(P52="",0,MAX(0,MIN(INDEX(Houses!$E$2:$E$18,MATCH(P52,Houses!$A$2:$A$18,0))-IF(INDEX(Houses!$H$2:$H$18,MATCH(P52,Houses!$A$2:$A$18,0))=1,SUMIF($P$8:P51,P52,$AD$8:AD51)+SUMIF($N$8:N51,P52,$Z$8:Z51)+IF(N52=P52,Z52,0),0),AC52)))</f>
        <v/>
      </c>
      <c r="AE52" s="8">
        <f>IF(P52="",0,MAX(0,MIN(INDEX(Houses!$F$2:$F$18,MATCH(P52,Houses!$A$2:$A$18,0))-IF(INDEX(Houses!$H$2:$H$18,MATCH(P52,Houses!$A$2:$A$18,0))=1,SUMIF($P$8:P51,P52,$AE$8:AE51)+SUMIF($N$8:N51,P52,$AA$8:AA51)+IF(N52=P52,AA52,0),0),INT((AC52-AD52)/2))))</f>
        <v/>
      </c>
      <c r="AF52" s="8">
        <f>IF(P52="",0,MAX(0,INDEX(Houses!$G$2:$G$18,MATCH(P52,Houses!$A$2:$A$18,0))-IF(INDEX(Houses!$H$2:$H$18,MATCH(P52,Houses!$A$2:$A$18,0))=1,SUMIF($P$8:P51,P52,$AF$8:AF51)+SUMIF($N$8:N51,P52,$AB$8:AB51)+IF(N52=P52,AB52,0),0)))</f>
        <v/>
      </c>
      <c r="AG52" s="9">
        <f>AG51+H52*Params!$B$24*F52-I52*Params!$B$25-J52*Params!$B$27</f>
        <v/>
      </c>
      <c r="AH52" s="9">
        <f>AH51+I52*Params!$B$25*Params!$B$26-K52*Params!$B$31-L52*Params!$B$33-M52*Params!$B$36+AA52+AE52</f>
        <v/>
      </c>
      <c r="AI52" s="9">
        <f>AI51+J52*Params!$B$27*Params!$B$28-X52*Params!$B$43*24</f>
        <v/>
      </c>
      <c r="AJ52" s="9">
        <f>AJ51-E52*Params!$B$22+Z52+AD52</f>
        <v/>
      </c>
      <c r="AK52" s="8">
        <f>AK51+AB52+AF52</f>
        <v/>
      </c>
      <c r="AL52" s="8">
        <f>MAX(0,AL51-M52)</f>
        <v/>
      </c>
      <c r="AM52" s="8">
        <f>MAX(0,AT51-K52)</f>
        <v/>
      </c>
      <c r="AN52" s="9">
        <f>AQ51+L52*Params!$B$35</f>
        <v/>
      </c>
      <c r="AO52" s="8">
        <f>IF(C52=0,0,INDEX(Nights!$B$2:$B$31,C52))</f>
        <v/>
      </c>
      <c r="AP52" s="9">
        <f>AO52*Params!$B$51*Params!$B$50</f>
        <v/>
      </c>
      <c r="AQ52" s="9">
        <f>MAX(0,AN52-AP52)</f>
        <v/>
      </c>
      <c r="AR52" s="8">
        <f>INT((AS51+MAX(0,AP52-AN52))/Params!$B$30)</f>
        <v/>
      </c>
      <c r="AS52" s="9">
        <f>(AS51+MAX(0,AP52-AN52))-AR52*Params!$B$30</f>
        <v/>
      </c>
      <c r="AT52" s="8">
        <f>AM52+AR52</f>
        <v/>
      </c>
      <c r="AU52" s="8">
        <f>IF(AND(AO52&gt;0,OR(AM52+AL52&gt;0,AR52&gt;0)),"BREACH","")</f>
        <v/>
      </c>
      <c r="AV52" s="13">
        <f>Params!$B$40+IF(AI52&lt;0,0,X52)*Params!$B$41-(AM52+AL52)*Params!$B$42</f>
        <v/>
      </c>
      <c r="AW52" s="9">
        <f>MAX(0,MIN(100,AW51-IF(AV52&lt;Params!$B$44,(Params!$B$44-AV52)*Params!$B$45,0)-IF(AJ52&lt;0,Params!$B$54,0)-IF(AU52="BREACH",Params!$B$53,0)-IF(T52="DARK",Params!$B$55,0)))</f>
        <v/>
      </c>
      <c r="AX52" s="8">
        <f>IF(AW52&lt;=0,"DEAD",TRIM(IF(V52&lt;0,"OVERWORK ","")&amp;IF(W52&lt;0,"NO-DAYLIGHT ","")&amp;IF(AG52&lt;0,"NO-LOGS ","")&amp;IF(AH52&lt;0,"NO-BOARDS ","")&amp;IF(AI52&lt;0,"NO-FUEL ","")&amp;IF(AJ52&lt;0,"HUNGER ","")&amp;AU52&amp;" "&amp;IF(T52="DARK","DARK-TRIP ","")&amp;IF(AV52&lt;Params!$B$44,"COLD","")))</f>
        <v/>
      </c>
    </row>
  </sheetData>
  <conditionalFormatting sqref="A9:AX52">
    <cfRule type="expression" priority="1" dxfId="0">
      <formula>$B9="night"</formula>
    </cfRule>
  </conditionalFormatting>
  <conditionalFormatting sqref="AG9:AG52">
    <cfRule type="cellIs" priority="2" operator="lessThan" dxfId="1">
      <formula>0</formula>
    </cfRule>
  </conditionalFormatting>
  <conditionalFormatting sqref="AH9:AH52">
    <cfRule type="cellIs" priority="3" operator="lessThan" dxfId="1">
      <formula>0</formula>
    </cfRule>
  </conditionalFormatting>
  <conditionalFormatting sqref="AI9:AI52">
    <cfRule type="cellIs" priority="4" operator="lessThan" dxfId="1">
      <formula>0</formula>
    </cfRule>
  </conditionalFormatting>
  <conditionalFormatting sqref="AJ9:AJ52">
    <cfRule type="cellIs" priority="5" operator="lessThan" dxfId="1">
      <formula>0</formula>
    </cfRule>
  </conditionalFormatting>
  <conditionalFormatting sqref="V9:V52">
    <cfRule type="cellIs" priority="6" operator="lessThan" dxfId="1">
      <formula>0</formula>
    </cfRule>
  </conditionalFormatting>
  <conditionalFormatting sqref="W9:W52">
    <cfRule type="cellIs" priority="7" operator="lessThan" dxfId="1">
      <formula>0</formula>
    </cfRule>
  </conditionalFormatting>
  <conditionalFormatting sqref="T9:T52">
    <cfRule type="cellIs" priority="8" operator="equal" dxfId="2">
      <formula>"DARK"</formula>
    </cfRule>
  </conditionalFormatting>
  <conditionalFormatting sqref="AU9:AU52">
    <cfRule type="cellIs" priority="9" operator="equal" dxfId="3">
      <formula>"BREACH"</formula>
    </cfRule>
  </conditionalFormatting>
  <conditionalFormatting sqref="AW9:AW52">
    <cfRule type="cellIs" priority="10" operator="lessThan" dxfId="4">
      <formula>30</formula>
    </cfRule>
  </conditionalFormatting>
  <conditionalFormatting sqref="AX9:AX52">
    <cfRule type="expression" priority="11" dxfId="3">
      <formula>ISNUMBER(SEARCH("DEAD",AX9))</formula>
    </cfRule>
  </conditionalFormatting>
  <conditionalFormatting sqref="AV9:AV52">
    <cfRule type="cellIs" priority="12" operator="lessThan" dxfId="5">
      <formula>Params!$B$44</formula>
    </cfRule>
  </conditionalFormatting>
  <dataValidations count="4">
    <dataValidation sqref="N9:N52 P9:P52" showDropDown="0" showInputMessage="0" showErrorMessage="0" allowBlank="1" type="list">
      <formula1>=Houses!$A$2:$A$18</formula1>
    </dataValidation>
    <dataValidation sqref="O9:O52 Q9:Q52" showDropDown="0" showInputMessage="0" showErrorMessage="0" allowBlank="1" type="list">
      <formula1>=People!$A$2:$A$7</formula1>
    </dataValidation>
    <dataValidation sqref="K9:K52 L9:L52 M9:M52 X9:X52" showDropDown="0" showInputMessage="0" showErrorMessage="0" allowBlank="0" type="whole" operator="greaterThanOrEqual">
      <formula1>0</formula1>
    </dataValidation>
    <dataValidation sqref="H9:H52 I9:I52 J9:J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70" customWidth="1" min="4" max="4"/>
  </cols>
  <sheetData>
    <row r="1">
      <c r="A1" s="1" t="inlineStr">
        <is>
          <t>30 Nights - balance parameters (model v1.1)</t>
        </is>
      </c>
    </row>
    <row r="2">
      <c r="A2" s="5" t="inlineStr">
        <is>
          <t>Blue = editable constants. All values are first-guess design assumptions (Inna + Claude, 2026-09-06), no external source.</t>
        </is>
      </c>
    </row>
    <row r="4">
      <c r="A4" s="14" t="inlineStr">
        <is>
          <t>Calendar</t>
        </is>
      </c>
      <c r="B4" s="15" t="n"/>
      <c r="C4" s="15" t="n"/>
      <c r="D4" s="15" t="n"/>
    </row>
    <row r="5">
      <c r="A5" s="2" t="inlineStr">
        <is>
          <t>Prep days before the night</t>
        </is>
      </c>
      <c r="B5" s="16" t="n">
        <v>14</v>
      </c>
      <c r="C5" s="5" t="inlineStr">
        <is>
          <t>days</t>
        </is>
      </c>
      <c r="D5" s="2" t="inlineStr">
        <is>
          <t>Fourteen days of shrinking daylight, then the night</t>
        </is>
      </c>
    </row>
    <row r="6">
      <c r="A6" s="2" t="inlineStr">
        <is>
          <t>Nights to survive</t>
        </is>
      </c>
      <c r="B6" s="16" t="n">
        <v>30</v>
      </c>
      <c r="C6" s="5" t="inlineStr">
        <is>
          <t>nights</t>
        </is>
      </c>
      <c r="D6" s="2" t="inlineStr">
        <is>
          <t>The thirty nights of the title</t>
        </is>
      </c>
    </row>
    <row r="7">
      <c r="A7" s="2" t="inlineStr">
        <is>
          <t>Safe daylight on day 1</t>
        </is>
      </c>
      <c r="B7" s="16" t="n">
        <v>8</v>
      </c>
      <c r="C7" s="5" t="inlineStr">
        <is>
          <t>h</t>
        </is>
      </c>
      <c r="D7" s="2" t="inlineStr">
        <is>
          <t>Shrinks linearly to the last prep day; 0 during the nights</t>
        </is>
      </c>
    </row>
    <row r="8">
      <c r="A8" s="2" t="inlineStr">
        <is>
          <t>Safe daylight on the last prep day</t>
        </is>
      </c>
      <c r="B8" s="16" t="n">
        <v>1</v>
      </c>
      <c r="C8" s="5" t="inlineStr">
        <is>
          <t>h</t>
        </is>
      </c>
      <c r="D8" s="2" t="inlineStr"/>
    </row>
    <row r="9">
      <c r="A9" s="2" t="inlineStr">
        <is>
          <t>Work budget per person per day</t>
        </is>
      </c>
      <c r="B9" s="16" t="n">
        <v>12</v>
      </c>
      <c r="C9" s="5" t="inlineStr">
        <is>
          <t>h</t>
        </is>
      </c>
      <c r="D9" s="2" t="inlineStr">
        <is>
          <t>Replaces a fatigue meter: 12 h of work, the rest is sleep</t>
        </is>
      </c>
    </row>
    <row r="10">
      <c r="A10" s="14" t="inlineStr">
        <is>
          <t>Starting stocks</t>
        </is>
      </c>
      <c r="B10" s="15" t="n"/>
      <c r="C10" s="15" t="n"/>
      <c r="D10" s="15" t="n"/>
    </row>
    <row r="11">
      <c r="A11" s="2" t="inlineStr">
        <is>
          <t>Food at start</t>
        </is>
      </c>
      <c r="B11" s="16" t="n">
        <v>12</v>
      </c>
      <c r="C11" s="5" t="inlineStr">
        <is>
          <t>units</t>
        </is>
      </c>
      <c r="D11" s="2" t="inlineStr">
        <is>
          <t>1 unit feeds one person for one day</t>
        </is>
      </c>
    </row>
    <row r="12">
      <c r="A12" s="2" t="inlineStr">
        <is>
          <t>Fuel at start</t>
        </is>
      </c>
      <c r="B12" s="16" t="n">
        <v>40</v>
      </c>
      <c r="C12" s="5" t="inlineStr">
        <is>
          <t>stove-hours</t>
        </is>
      </c>
      <c r="D12" s="2" t="inlineStr">
        <is>
          <t>1 fuel = one stove burning for one hour</t>
        </is>
      </c>
    </row>
    <row r="13">
      <c r="A13" s="2" t="inlineStr">
        <is>
          <t>Boards at start</t>
        </is>
      </c>
      <c r="B13" s="16" t="n">
        <v>12</v>
      </c>
      <c r="C13" s="5" t="inlineStr">
        <is>
          <t>boards</t>
        </is>
      </c>
      <c r="D13" s="2" t="inlineStr"/>
    </row>
    <row r="14">
      <c r="A14" s="2" t="inlineStr">
        <is>
          <t>Logs at start</t>
        </is>
      </c>
      <c r="B14" s="16" t="n">
        <v>0</v>
      </c>
      <c r="C14" s="5" t="inlineStr">
        <is>
          <t>logs</t>
        </is>
      </c>
      <c r="D14" s="2" t="inlineStr"/>
    </row>
    <row r="15">
      <c r="A15" s="2" t="inlineStr">
        <is>
          <t>Medicine at start</t>
        </is>
      </c>
      <c r="B15" s="16" t="n">
        <v>2</v>
      </c>
      <c r="C15" s="5" t="inlineStr">
        <is>
          <t>doses</t>
        </is>
      </c>
      <c r="D15" s="2" t="inlineStr">
        <is>
          <t>A first-aid kit; the clinic is the resupply</t>
        </is>
      </c>
    </row>
    <row r="16">
      <c r="A16" s="2" t="inlineStr">
        <is>
          <t>Colony health at start</t>
        </is>
      </c>
      <c r="B16" s="16" t="n">
        <v>100</v>
      </c>
      <c r="C16" s="5" t="inlineStr">
        <is>
          <t>hp</t>
        </is>
      </c>
      <c r="D16" s="2" t="inlineStr">
        <is>
          <t>One coarse health pool for planning; per-person health is v1.1 of the model</t>
        </is>
      </c>
    </row>
    <row r="17">
      <c r="A17" s="2" t="inlineStr">
        <is>
          <t>Perimeter sections missing at start</t>
        </is>
      </c>
      <c r="B17" s="16" t="n">
        <v>4</v>
      </c>
      <c r="C17" s="5" t="inlineStr">
        <is>
          <t>sections</t>
        </is>
      </c>
      <c r="D17" s="2" t="inlineStr">
        <is>
          <t>Open gaps: build them (8 boards each)</t>
        </is>
      </c>
    </row>
    <row r="18">
      <c r="A18" s="2" t="inlineStr">
        <is>
          <t>Perimeter holes at start</t>
        </is>
      </c>
      <c r="B18" s="16" t="n">
        <v>2</v>
      </c>
      <c r="C18" s="5" t="inlineStr">
        <is>
          <t>holes</t>
        </is>
      </c>
      <c r="D18" s="2" t="inlineStr">
        <is>
          <t>Broken sections: repair them (4 boards each)</t>
        </is>
      </c>
    </row>
    <row r="19">
      <c r="A19" s="2" t="inlineStr">
        <is>
          <t>Reinforcement buffer at start</t>
        </is>
      </c>
      <c r="B19" s="16" t="n">
        <v>0</v>
      </c>
      <c r="C19" s="5" t="inlineStr">
        <is>
          <t>hp</t>
        </is>
      </c>
      <c r="D19" s="2" t="inlineStr"/>
    </row>
    <row r="20">
      <c r="A20" s="2" t="inlineStr">
        <is>
          <t>Damage carried into night 1</t>
        </is>
      </c>
      <c r="B20" s="16" t="n">
        <v>0</v>
      </c>
      <c r="C20" s="5" t="inlineStr">
        <is>
          <t>hp</t>
        </is>
      </c>
      <c r="D20" s="2" t="inlineStr">
        <is>
          <t>Partial damage below one hole is kept, never lost</t>
        </is>
      </c>
    </row>
    <row r="21">
      <c r="A21" s="14" t="inlineStr">
        <is>
          <t>Consumption</t>
        </is>
      </c>
      <c r="B21" s="15" t="n"/>
      <c r="C21" s="15" t="n"/>
      <c r="D21" s="15" t="n"/>
    </row>
    <row r="22">
      <c r="A22" s="2" t="inlineStr">
        <is>
          <t>Food per person per day</t>
        </is>
      </c>
      <c r="B22" s="16" t="n">
        <v>1</v>
      </c>
      <c r="C22" s="5" t="inlineStr">
        <is>
          <t>units</t>
        </is>
      </c>
      <c r="D22" s="2" t="inlineStr">
        <is>
          <t>Deducted every morning</t>
        </is>
      </c>
    </row>
    <row r="23">
      <c r="A23" s="14" t="inlineStr">
        <is>
          <t>Production (per person-hour at work multiplier 1.0)</t>
        </is>
      </c>
      <c r="B23" s="15" t="n"/>
      <c r="C23" s="15" t="n"/>
      <c r="D23" s="15" t="n"/>
    </row>
    <row r="24">
      <c r="A24" s="2" t="inlineStr">
        <is>
          <t>Logs chopped per hour</t>
        </is>
      </c>
      <c r="B24" s="16" t="n">
        <v>2.2</v>
      </c>
      <c r="C24" s="5" t="inlineStr">
        <is>
          <t>logs/h</t>
        </is>
      </c>
      <c r="D24" s="2" t="inlineStr">
        <is>
          <t>Daylight only: the forest is outside the fence</t>
        </is>
      </c>
    </row>
    <row r="25">
      <c r="A25" s="2" t="inlineStr">
        <is>
          <t>Logs sawn per hour</t>
        </is>
      </c>
      <c r="B25" s="16" t="n">
        <v>1</v>
      </c>
      <c r="C25" s="5" t="inlineStr">
        <is>
          <t>logs/h</t>
        </is>
      </c>
      <c r="D25" s="2" t="inlineStr">
        <is>
          <t>Indoors, any hour</t>
        </is>
      </c>
    </row>
    <row r="26">
      <c r="A26" s="2" t="inlineStr">
        <is>
          <t>Boards per log</t>
        </is>
      </c>
      <c r="B26" s="16" t="n">
        <v>2</v>
      </c>
      <c r="C26" s="5" t="inlineStr">
        <is>
          <t>boards</t>
        </is>
      </c>
      <c r="D26" s="2" t="inlineStr"/>
    </row>
    <row r="27">
      <c r="A27" s="2" t="inlineStr">
        <is>
          <t>Logs split per hour</t>
        </is>
      </c>
      <c r="B27" s="16" t="n">
        <v>1.5</v>
      </c>
      <c r="C27" s="5" t="inlineStr">
        <is>
          <t>logs/h</t>
        </is>
      </c>
      <c r="D27" s="2" t="inlineStr">
        <is>
          <t>Indoors, any hour</t>
        </is>
      </c>
    </row>
    <row r="28">
      <c r="A28" s="2" t="inlineStr">
        <is>
          <t>Fuel per log</t>
        </is>
      </c>
      <c r="B28" s="16" t="n">
        <v>12</v>
      </c>
      <c r="C28" s="5" t="inlineStr">
        <is>
          <t>stove-hours</t>
        </is>
      </c>
      <c r="D28" s="2" t="inlineStr">
        <is>
          <t>One log keeps the stove going for 12 h</t>
        </is>
      </c>
    </row>
    <row r="29">
      <c r="A29" s="14" t="inlineStr">
        <is>
          <t>Construction</t>
        </is>
      </c>
      <c r="B29" s="15" t="n"/>
      <c r="C29" s="15" t="n"/>
      <c r="D29" s="15" t="n"/>
    </row>
    <row r="30">
      <c r="A30" s="2" t="inlineStr">
        <is>
          <t>Section strength</t>
        </is>
      </c>
      <c r="B30" s="16" t="n">
        <v>10</v>
      </c>
      <c r="C30" s="5" t="inlineStr">
        <is>
          <t>hp</t>
        </is>
      </c>
      <c r="D30" s="2" t="inlineStr">
        <is>
          <t>Accumulated night damage per this = one new hole</t>
        </is>
      </c>
    </row>
    <row r="31">
      <c r="A31" s="2" t="inlineStr">
        <is>
          <t>Repair a hole: boards</t>
        </is>
      </c>
      <c r="B31" s="16" t="n">
        <v>4</v>
      </c>
      <c r="C31" s="5" t="inlineStr">
        <is>
          <t>boards</t>
        </is>
      </c>
      <c r="D31" s="2" t="inlineStr"/>
    </row>
    <row r="32">
      <c r="A32" s="2" t="inlineStr">
        <is>
          <t>Repair a hole: hours</t>
        </is>
      </c>
      <c r="B32" s="16" t="n">
        <v>2</v>
      </c>
      <c r="C32" s="5" t="inlineStr">
        <is>
          <t>h</t>
        </is>
      </c>
      <c r="D32" s="2" t="inlineStr"/>
    </row>
    <row r="33">
      <c r="A33" s="2" t="inlineStr">
        <is>
          <t>Reinforce: boards</t>
        </is>
      </c>
      <c r="B33" s="16" t="n">
        <v>3</v>
      </c>
      <c r="C33" s="5" t="inlineStr">
        <is>
          <t>boards</t>
        </is>
      </c>
      <c r="D33" s="2" t="inlineStr">
        <is>
          <t>Adds to the reinforcement buffer that absorbs damage first</t>
        </is>
      </c>
    </row>
    <row r="34">
      <c r="A34" s="2" t="inlineStr">
        <is>
          <t>Reinforce: hours</t>
        </is>
      </c>
      <c r="B34" s="16" t="n">
        <v>1.5</v>
      </c>
      <c r="C34" s="5" t="inlineStr">
        <is>
          <t>h</t>
        </is>
      </c>
      <c r="D34" s="2" t="inlineStr"/>
    </row>
    <row r="35">
      <c r="A35" s="2" t="inlineStr">
        <is>
          <t>Reinforce: buffer added</t>
        </is>
      </c>
      <c r="B35" s="16" t="n">
        <v>5</v>
      </c>
      <c r="C35" s="5" t="inlineStr">
        <is>
          <t>hp</t>
        </is>
      </c>
      <c r="D35" s="2" t="inlineStr"/>
    </row>
    <row r="36">
      <c r="A36" s="2" t="inlineStr">
        <is>
          <t>Build a missing section: boards</t>
        </is>
      </c>
      <c r="B36" s="16" t="n">
        <v>8</v>
      </c>
      <c r="C36" s="5" t="inlineStr">
        <is>
          <t>boards</t>
        </is>
      </c>
      <c r="D36" s="2" t="inlineStr"/>
    </row>
    <row r="37">
      <c r="A37" s="2" t="inlineStr">
        <is>
          <t>Build a missing section: hours</t>
        </is>
      </c>
      <c r="B37" s="16" t="n">
        <v>3</v>
      </c>
      <c r="C37" s="5" t="inlineStr">
        <is>
          <t>h</t>
        </is>
      </c>
      <c r="D37" s="2" t="inlineStr"/>
    </row>
    <row r="38">
      <c r="A38" s="2" t="inlineStr">
        <is>
          <t>Perimeter sections in total</t>
        </is>
      </c>
      <c r="B38" s="16" t="n">
        <v>24</v>
      </c>
      <c r="C38" s="5" t="inlineStr">
        <is>
          <t>sections</t>
        </is>
      </c>
      <c r="D38" s="2" t="inlineStr">
        <is>
          <t>Fence + hangar walls (one pool in this model)</t>
        </is>
      </c>
    </row>
    <row r="39">
      <c r="A39" s="14" t="inlineStr">
        <is>
          <t>Heat</t>
        </is>
      </c>
      <c r="B39" s="15" t="n"/>
      <c r="C39" s="15" t="n"/>
      <c r="D39" s="15" t="n"/>
    </row>
    <row r="40">
      <c r="A40" s="2" t="inlineStr">
        <is>
          <t>Outside temperature</t>
        </is>
      </c>
      <c r="B40" s="16" t="n">
        <v>-22</v>
      </c>
      <c r="C40" s="5" t="inlineStr">
        <is>
          <t>C</t>
        </is>
      </c>
      <c r="D40" s="2" t="inlineStr">
        <is>
          <t>Polar night</t>
        </is>
      </c>
    </row>
    <row r="41">
      <c r="A41" s="2" t="inlineStr">
        <is>
          <t>Heat per burning stove</t>
        </is>
      </c>
      <c r="B41" s="16" t="n">
        <v>24</v>
      </c>
      <c r="C41" s="5" t="inlineStr">
        <is>
          <t>C</t>
        </is>
      </c>
      <c r="D41" s="2" t="inlineStr">
        <is>
          <t>24: in the room model a sealed room with a door and a boarded window sits at 0 C; this sheet has one temperature for the base</t>
        </is>
      </c>
    </row>
    <row r="42">
      <c r="A42" s="2" t="inlineStr">
        <is>
          <t>Heat lost per open hole or missing section</t>
        </is>
      </c>
      <c r="B42" s="16" t="n">
        <v>4</v>
      </c>
      <c r="C42" s="5" t="inlineStr">
        <is>
          <t>C</t>
        </is>
      </c>
      <c r="D42" s="2" t="inlineStr"/>
    </row>
    <row r="43">
      <c r="A43" s="2" t="inlineStr">
        <is>
          <t>Fuel per stove per hour</t>
        </is>
      </c>
      <c r="B43" s="16" t="n">
        <v>1</v>
      </c>
      <c r="C43" s="5" t="inlineStr">
        <is>
          <t>stove-hours</t>
        </is>
      </c>
      <c r="D43" s="2" t="inlineStr"/>
    </row>
    <row r="44">
      <c r="A44" s="2" t="inlineStr">
        <is>
          <t>Inside temperature below which people freeze</t>
        </is>
      </c>
      <c r="B44" s="16" t="n">
        <v>0</v>
      </c>
      <c r="C44" s="5" t="inlineStr">
        <is>
          <t>C</t>
        </is>
      </c>
      <c r="D44" s="2" t="inlineStr"/>
    </row>
    <row r="45">
      <c r="A45" s="2" t="inlineStr">
        <is>
          <t>Health lost per degree below that, per day</t>
        </is>
      </c>
      <c r="B45" s="16" t="n">
        <v>0.4</v>
      </c>
      <c r="C45" s="5" t="inlineStr">
        <is>
          <t>hp</t>
        </is>
      </c>
      <c r="D45" s="2" t="inlineStr"/>
    </row>
    <row r="46">
      <c r="A46" s="14" t="inlineStr">
        <is>
          <t>Enemies</t>
        </is>
      </c>
      <c r="B46" s="15" t="n"/>
      <c r="C46" s="15" t="n"/>
      <c r="D46" s="15" t="n"/>
    </row>
    <row r="47">
      <c r="A47" s="2" t="inlineStr">
        <is>
          <t>Assault every N-th night</t>
        </is>
      </c>
      <c r="B47" s="16" t="n">
        <v>3</v>
      </c>
      <c r="C47" s="5" t="inlineStr">
        <is>
          <t>nights</t>
        </is>
      </c>
      <c r="D47" s="2" t="inlineStr">
        <is>
          <t>3 = ten assaults in thirty nights; the night after is a probe, the third is quiet</t>
        </is>
      </c>
    </row>
    <row r="48">
      <c r="A48" s="2" t="inlineStr">
        <is>
          <t>Assault attackers = assault number + this</t>
        </is>
      </c>
      <c r="B48" s="16" t="n">
        <v>2</v>
      </c>
      <c r="C48" s="5" t="inlineStr"/>
      <c r="D48" s="2" t="inlineStr">
        <is>
          <t>3rd night: 3 attackers ... 30th night: 12</t>
        </is>
      </c>
    </row>
    <row r="49">
      <c r="A49" s="2" t="inlineStr">
        <is>
          <t>Attackers on a probing night</t>
        </is>
      </c>
      <c r="B49" s="16" t="n">
        <v>1</v>
      </c>
      <c r="C49" s="5" t="inlineStr"/>
      <c r="D49" s="2" t="inlineStr">
        <is>
          <t>A wolf or two testing the fence</t>
        </is>
      </c>
    </row>
    <row r="50">
      <c r="A50" s="2" t="inlineStr">
        <is>
          <t>Hours of attack per night</t>
        </is>
      </c>
      <c r="B50" s="16" t="n">
        <v>4</v>
      </c>
      <c r="C50" s="5" t="inlineStr">
        <is>
          <t>h</t>
        </is>
      </c>
      <c r="D50" s="2" t="inlineStr"/>
    </row>
    <row r="51">
      <c r="A51" s="2" t="inlineStr">
        <is>
          <t>Damage per attacker per hour</t>
        </is>
      </c>
      <c r="B51" s="16" t="n">
        <v>1</v>
      </c>
      <c r="C51" s="5" t="inlineStr">
        <is>
          <t>hp</t>
        </is>
      </c>
      <c r="D51" s="2" t="inlineStr"/>
    </row>
    <row r="52">
      <c r="A52" s="14" t="inlineStr">
        <is>
          <t>Health losses</t>
        </is>
      </c>
      <c r="B52" s="15" t="n"/>
      <c r="C52" s="15" t="n"/>
      <c r="D52" s="15" t="n"/>
    </row>
    <row r="53">
      <c r="A53" s="2" t="inlineStr">
        <is>
          <t>Breach (attackers + an open gap, or a gap opened tonight)</t>
        </is>
      </c>
      <c r="B53" s="16" t="n">
        <v>15</v>
      </c>
      <c r="C53" s="5" t="inlineStr">
        <is>
          <t>hp</t>
        </is>
      </c>
      <c r="D53" s="2" t="inlineStr"/>
    </row>
    <row r="54">
      <c r="A54" s="2" t="inlineStr">
        <is>
          <t>Hunger (food below zero)</t>
        </is>
      </c>
      <c r="B54" s="16" t="n">
        <v>10</v>
      </c>
      <c r="C54" s="5" t="inlineStr">
        <is>
          <t>hp/day</t>
        </is>
      </c>
      <c r="D54" s="2" t="inlineStr"/>
    </row>
    <row r="55">
      <c r="A55" s="2" t="inlineStr">
        <is>
          <t>Expedition longer than the daylight</t>
        </is>
      </c>
      <c r="B55" s="16" t="n">
        <v>10</v>
      </c>
      <c r="C55" s="5" t="inlineStr">
        <is>
          <t>hp</t>
        </is>
      </c>
      <c r="D55" s="2" t="inlineStr">
        <is>
          <t>Someone comes back hurt</t>
        </is>
      </c>
    </row>
    <row r="56">
      <c r="A56" s="14" t="inlineStr">
        <is>
          <t>Expeditions</t>
        </is>
      </c>
      <c r="B56" s="15" t="n"/>
      <c r="C56" s="15" t="n"/>
      <c r="D56" s="15" t="n"/>
    </row>
    <row r="57">
      <c r="A57" s="2" t="inlineStr">
        <is>
          <t>Search time per house</t>
        </is>
      </c>
      <c r="B57" s="16" t="n">
        <v>1</v>
      </c>
      <c r="C57" s="5" t="inlineStr">
        <is>
          <t>h</t>
        </is>
      </c>
      <c r="D57" s="2" t="inlineStr">
        <is>
          <t>Trip = (2 x distance + search) / runner 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2" customWidth="1" min="4" max="4"/>
  </cols>
  <sheetData>
    <row r="1">
      <c r="A1" s="17" t="inlineStr">
        <is>
          <t>Night</t>
        </is>
      </c>
      <c r="B1" s="17" t="inlineStr">
        <is>
          <t>Attackers</t>
        </is>
      </c>
      <c r="C1" s="17" t="inlineStr">
        <is>
          <t>Kind</t>
        </is>
      </c>
      <c r="D1" s="17" t="inlineStr">
        <is>
          <t>Damage per night (hp)</t>
        </is>
      </c>
      <c r="F1" s="5" t="inlineStr">
        <is>
          <t>The rhythm of the siege: assault every third night (escalating), a probe the night after, then quiet. Tune Params, not this sheet.</t>
        </is>
      </c>
    </row>
    <row r="2">
      <c r="A2" s="18" t="n">
        <v>1</v>
      </c>
      <c r="B2" s="2">
        <f>IF(MOD(A2,Params!$B$47)=0,A2/Params!$B$47+Params!$B$48,IF(MOD(A2,Params!$B$47)=1,Params!$B$49,0))</f>
        <v/>
      </c>
      <c r="C2" s="2">
        <f>IF(MOD(A2,Params!$B$47)=0,"assault",IF(MOD(A2,Params!$B$47)=1,"probe","quiet"))</f>
        <v/>
      </c>
      <c r="D2" s="4">
        <f>B2*Params!$B$51*Params!$B$50</f>
        <v/>
      </c>
    </row>
    <row r="3">
      <c r="A3" s="18" t="n">
        <v>2</v>
      </c>
      <c r="B3" s="2">
        <f>IF(MOD(A3,Params!$B$47)=0,A3/Params!$B$47+Params!$B$48,IF(MOD(A3,Params!$B$47)=1,Params!$B$49,0))</f>
        <v/>
      </c>
      <c r="C3" s="2">
        <f>IF(MOD(A3,Params!$B$47)=0,"assault",IF(MOD(A3,Params!$B$47)=1,"probe","quiet"))</f>
        <v/>
      </c>
      <c r="D3" s="4">
        <f>B3*Params!$B$51*Params!$B$50</f>
        <v/>
      </c>
    </row>
    <row r="4">
      <c r="A4" s="18" t="n">
        <v>3</v>
      </c>
      <c r="B4" s="2">
        <f>IF(MOD(A4,Params!$B$47)=0,A4/Params!$B$47+Params!$B$48,IF(MOD(A4,Params!$B$47)=1,Params!$B$49,0))</f>
        <v/>
      </c>
      <c r="C4" s="2">
        <f>IF(MOD(A4,Params!$B$47)=0,"assault",IF(MOD(A4,Params!$B$47)=1,"probe","quiet"))</f>
        <v/>
      </c>
      <c r="D4" s="4">
        <f>B4*Params!$B$51*Params!$B$50</f>
        <v/>
      </c>
    </row>
    <row r="5">
      <c r="A5" s="18" t="n">
        <v>4</v>
      </c>
      <c r="B5" s="2">
        <f>IF(MOD(A5,Params!$B$47)=0,A5/Params!$B$47+Params!$B$48,IF(MOD(A5,Params!$B$47)=1,Params!$B$49,0))</f>
        <v/>
      </c>
      <c r="C5" s="2">
        <f>IF(MOD(A5,Params!$B$47)=0,"assault",IF(MOD(A5,Params!$B$47)=1,"probe","quiet"))</f>
        <v/>
      </c>
      <c r="D5" s="4">
        <f>B5*Params!$B$51*Params!$B$50</f>
        <v/>
      </c>
    </row>
    <row r="6">
      <c r="A6" s="18" t="n">
        <v>5</v>
      </c>
      <c r="B6" s="2">
        <f>IF(MOD(A6,Params!$B$47)=0,A6/Params!$B$47+Params!$B$48,IF(MOD(A6,Params!$B$47)=1,Params!$B$49,0))</f>
        <v/>
      </c>
      <c r="C6" s="2">
        <f>IF(MOD(A6,Params!$B$47)=0,"assault",IF(MOD(A6,Params!$B$47)=1,"probe","quiet"))</f>
        <v/>
      </c>
      <c r="D6" s="4">
        <f>B6*Params!$B$51*Params!$B$50</f>
        <v/>
      </c>
    </row>
    <row r="7">
      <c r="A7" s="18" t="n">
        <v>6</v>
      </c>
      <c r="B7" s="2">
        <f>IF(MOD(A7,Params!$B$47)=0,A7/Params!$B$47+Params!$B$48,IF(MOD(A7,Params!$B$47)=1,Params!$B$49,0))</f>
        <v/>
      </c>
      <c r="C7" s="2">
        <f>IF(MOD(A7,Params!$B$47)=0,"assault",IF(MOD(A7,Params!$B$47)=1,"probe","quiet"))</f>
        <v/>
      </c>
      <c r="D7" s="4">
        <f>B7*Params!$B$51*Params!$B$50</f>
        <v/>
      </c>
    </row>
    <row r="8">
      <c r="A8" s="18" t="n">
        <v>7</v>
      </c>
      <c r="B8" s="2">
        <f>IF(MOD(A8,Params!$B$47)=0,A8/Params!$B$47+Params!$B$48,IF(MOD(A8,Params!$B$47)=1,Params!$B$49,0))</f>
        <v/>
      </c>
      <c r="C8" s="2">
        <f>IF(MOD(A8,Params!$B$47)=0,"assault",IF(MOD(A8,Params!$B$47)=1,"probe","quiet"))</f>
        <v/>
      </c>
      <c r="D8" s="4">
        <f>B8*Params!$B$51*Params!$B$50</f>
        <v/>
      </c>
    </row>
    <row r="9">
      <c r="A9" s="18" t="n">
        <v>8</v>
      </c>
      <c r="B9" s="2">
        <f>IF(MOD(A9,Params!$B$47)=0,A9/Params!$B$47+Params!$B$48,IF(MOD(A9,Params!$B$47)=1,Params!$B$49,0))</f>
        <v/>
      </c>
      <c r="C9" s="2">
        <f>IF(MOD(A9,Params!$B$47)=0,"assault",IF(MOD(A9,Params!$B$47)=1,"probe","quiet"))</f>
        <v/>
      </c>
      <c r="D9" s="4">
        <f>B9*Params!$B$51*Params!$B$50</f>
        <v/>
      </c>
    </row>
    <row r="10">
      <c r="A10" s="18" t="n">
        <v>9</v>
      </c>
      <c r="B10" s="2">
        <f>IF(MOD(A10,Params!$B$47)=0,A10/Params!$B$47+Params!$B$48,IF(MOD(A10,Params!$B$47)=1,Params!$B$49,0))</f>
        <v/>
      </c>
      <c r="C10" s="2">
        <f>IF(MOD(A10,Params!$B$47)=0,"assault",IF(MOD(A10,Params!$B$47)=1,"probe","quiet"))</f>
        <v/>
      </c>
      <c r="D10" s="4">
        <f>B10*Params!$B$51*Params!$B$50</f>
        <v/>
      </c>
    </row>
    <row r="11">
      <c r="A11" s="18" t="n">
        <v>10</v>
      </c>
      <c r="B11" s="2">
        <f>IF(MOD(A11,Params!$B$47)=0,A11/Params!$B$47+Params!$B$48,IF(MOD(A11,Params!$B$47)=1,Params!$B$49,0))</f>
        <v/>
      </c>
      <c r="C11" s="2">
        <f>IF(MOD(A11,Params!$B$47)=0,"assault",IF(MOD(A11,Params!$B$47)=1,"probe","quiet"))</f>
        <v/>
      </c>
      <c r="D11" s="4">
        <f>B11*Params!$B$51*Params!$B$50</f>
        <v/>
      </c>
    </row>
    <row r="12">
      <c r="A12" s="18" t="n">
        <v>11</v>
      </c>
      <c r="B12" s="2">
        <f>IF(MOD(A12,Params!$B$47)=0,A12/Params!$B$47+Params!$B$48,IF(MOD(A12,Params!$B$47)=1,Params!$B$49,0))</f>
        <v/>
      </c>
      <c r="C12" s="2">
        <f>IF(MOD(A12,Params!$B$47)=0,"assault",IF(MOD(A12,Params!$B$47)=1,"probe","quiet"))</f>
        <v/>
      </c>
      <c r="D12" s="4">
        <f>B12*Params!$B$51*Params!$B$50</f>
        <v/>
      </c>
    </row>
    <row r="13">
      <c r="A13" s="18" t="n">
        <v>12</v>
      </c>
      <c r="B13" s="2">
        <f>IF(MOD(A13,Params!$B$47)=0,A13/Params!$B$47+Params!$B$48,IF(MOD(A13,Params!$B$47)=1,Params!$B$49,0))</f>
        <v/>
      </c>
      <c r="C13" s="2">
        <f>IF(MOD(A13,Params!$B$47)=0,"assault",IF(MOD(A13,Params!$B$47)=1,"probe","quiet"))</f>
        <v/>
      </c>
      <c r="D13" s="4">
        <f>B13*Params!$B$51*Params!$B$50</f>
        <v/>
      </c>
    </row>
    <row r="14">
      <c r="A14" s="18" t="n">
        <v>13</v>
      </c>
      <c r="B14" s="2">
        <f>IF(MOD(A14,Params!$B$47)=0,A14/Params!$B$47+Params!$B$48,IF(MOD(A14,Params!$B$47)=1,Params!$B$49,0))</f>
        <v/>
      </c>
      <c r="C14" s="2">
        <f>IF(MOD(A14,Params!$B$47)=0,"assault",IF(MOD(A14,Params!$B$47)=1,"probe","quiet"))</f>
        <v/>
      </c>
      <c r="D14" s="4">
        <f>B14*Params!$B$51*Params!$B$50</f>
        <v/>
      </c>
    </row>
    <row r="15">
      <c r="A15" s="18" t="n">
        <v>14</v>
      </c>
      <c r="B15" s="2">
        <f>IF(MOD(A15,Params!$B$47)=0,A15/Params!$B$47+Params!$B$48,IF(MOD(A15,Params!$B$47)=1,Params!$B$49,0))</f>
        <v/>
      </c>
      <c r="C15" s="2">
        <f>IF(MOD(A15,Params!$B$47)=0,"assault",IF(MOD(A15,Params!$B$47)=1,"probe","quiet"))</f>
        <v/>
      </c>
      <c r="D15" s="4">
        <f>B15*Params!$B$51*Params!$B$50</f>
        <v/>
      </c>
    </row>
    <row r="16">
      <c r="A16" s="18" t="n">
        <v>15</v>
      </c>
      <c r="B16" s="2">
        <f>IF(MOD(A16,Params!$B$47)=0,A16/Params!$B$47+Params!$B$48,IF(MOD(A16,Params!$B$47)=1,Params!$B$49,0))</f>
        <v/>
      </c>
      <c r="C16" s="2">
        <f>IF(MOD(A16,Params!$B$47)=0,"assault",IF(MOD(A16,Params!$B$47)=1,"probe","quiet"))</f>
        <v/>
      </c>
      <c r="D16" s="4">
        <f>B16*Params!$B$51*Params!$B$50</f>
        <v/>
      </c>
    </row>
    <row r="17">
      <c r="A17" s="18" t="n">
        <v>16</v>
      </c>
      <c r="B17" s="2">
        <f>IF(MOD(A17,Params!$B$47)=0,A17/Params!$B$47+Params!$B$48,IF(MOD(A17,Params!$B$47)=1,Params!$B$49,0))</f>
        <v/>
      </c>
      <c r="C17" s="2">
        <f>IF(MOD(A17,Params!$B$47)=0,"assault",IF(MOD(A17,Params!$B$47)=1,"probe","quiet"))</f>
        <v/>
      </c>
      <c r="D17" s="4">
        <f>B17*Params!$B$51*Params!$B$50</f>
        <v/>
      </c>
    </row>
    <row r="18">
      <c r="A18" s="18" t="n">
        <v>17</v>
      </c>
      <c r="B18" s="2">
        <f>IF(MOD(A18,Params!$B$47)=0,A18/Params!$B$47+Params!$B$48,IF(MOD(A18,Params!$B$47)=1,Params!$B$49,0))</f>
        <v/>
      </c>
      <c r="C18" s="2">
        <f>IF(MOD(A18,Params!$B$47)=0,"assault",IF(MOD(A18,Params!$B$47)=1,"probe","quiet"))</f>
        <v/>
      </c>
      <c r="D18" s="4">
        <f>B18*Params!$B$51*Params!$B$50</f>
        <v/>
      </c>
    </row>
    <row r="19">
      <c r="A19" s="18" t="n">
        <v>18</v>
      </c>
      <c r="B19" s="2">
        <f>IF(MOD(A19,Params!$B$47)=0,A19/Params!$B$47+Params!$B$48,IF(MOD(A19,Params!$B$47)=1,Params!$B$49,0))</f>
        <v/>
      </c>
      <c r="C19" s="2">
        <f>IF(MOD(A19,Params!$B$47)=0,"assault",IF(MOD(A19,Params!$B$47)=1,"probe","quiet"))</f>
        <v/>
      </c>
      <c r="D19" s="4">
        <f>B19*Params!$B$51*Params!$B$50</f>
        <v/>
      </c>
    </row>
    <row r="20">
      <c r="A20" s="18" t="n">
        <v>19</v>
      </c>
      <c r="B20" s="2">
        <f>IF(MOD(A20,Params!$B$47)=0,A20/Params!$B$47+Params!$B$48,IF(MOD(A20,Params!$B$47)=1,Params!$B$49,0))</f>
        <v/>
      </c>
      <c r="C20" s="2">
        <f>IF(MOD(A20,Params!$B$47)=0,"assault",IF(MOD(A20,Params!$B$47)=1,"probe","quiet"))</f>
        <v/>
      </c>
      <c r="D20" s="4">
        <f>B20*Params!$B$51*Params!$B$50</f>
        <v/>
      </c>
    </row>
    <row r="21">
      <c r="A21" s="18" t="n">
        <v>20</v>
      </c>
      <c r="B21" s="2">
        <f>IF(MOD(A21,Params!$B$47)=0,A21/Params!$B$47+Params!$B$48,IF(MOD(A21,Params!$B$47)=1,Params!$B$49,0))</f>
        <v/>
      </c>
      <c r="C21" s="2">
        <f>IF(MOD(A21,Params!$B$47)=0,"assault",IF(MOD(A21,Params!$B$47)=1,"probe","quiet"))</f>
        <v/>
      </c>
      <c r="D21" s="4">
        <f>B21*Params!$B$51*Params!$B$50</f>
        <v/>
      </c>
    </row>
    <row r="22">
      <c r="A22" s="18" t="n">
        <v>21</v>
      </c>
      <c r="B22" s="2">
        <f>IF(MOD(A22,Params!$B$47)=0,A22/Params!$B$47+Params!$B$48,IF(MOD(A22,Params!$B$47)=1,Params!$B$49,0))</f>
        <v/>
      </c>
      <c r="C22" s="2">
        <f>IF(MOD(A22,Params!$B$47)=0,"assault",IF(MOD(A22,Params!$B$47)=1,"probe","quiet"))</f>
        <v/>
      </c>
      <c r="D22" s="4">
        <f>B22*Params!$B$51*Params!$B$50</f>
        <v/>
      </c>
    </row>
    <row r="23">
      <c r="A23" s="18" t="n">
        <v>22</v>
      </c>
      <c r="B23" s="2">
        <f>IF(MOD(A23,Params!$B$47)=0,A23/Params!$B$47+Params!$B$48,IF(MOD(A23,Params!$B$47)=1,Params!$B$49,0))</f>
        <v/>
      </c>
      <c r="C23" s="2">
        <f>IF(MOD(A23,Params!$B$47)=0,"assault",IF(MOD(A23,Params!$B$47)=1,"probe","quiet"))</f>
        <v/>
      </c>
      <c r="D23" s="4">
        <f>B23*Params!$B$51*Params!$B$50</f>
        <v/>
      </c>
    </row>
    <row r="24">
      <c r="A24" s="18" t="n">
        <v>23</v>
      </c>
      <c r="B24" s="2">
        <f>IF(MOD(A24,Params!$B$47)=0,A24/Params!$B$47+Params!$B$48,IF(MOD(A24,Params!$B$47)=1,Params!$B$49,0))</f>
        <v/>
      </c>
      <c r="C24" s="2">
        <f>IF(MOD(A24,Params!$B$47)=0,"assault",IF(MOD(A24,Params!$B$47)=1,"probe","quiet"))</f>
        <v/>
      </c>
      <c r="D24" s="4">
        <f>B24*Params!$B$51*Params!$B$50</f>
        <v/>
      </c>
    </row>
    <row r="25">
      <c r="A25" s="18" t="n">
        <v>24</v>
      </c>
      <c r="B25" s="2">
        <f>IF(MOD(A25,Params!$B$47)=0,A25/Params!$B$47+Params!$B$48,IF(MOD(A25,Params!$B$47)=1,Params!$B$49,0))</f>
        <v/>
      </c>
      <c r="C25" s="2">
        <f>IF(MOD(A25,Params!$B$47)=0,"assault",IF(MOD(A25,Params!$B$47)=1,"probe","quiet"))</f>
        <v/>
      </c>
      <c r="D25" s="4">
        <f>B25*Params!$B$51*Params!$B$50</f>
        <v/>
      </c>
    </row>
    <row r="26">
      <c r="A26" s="18" t="n">
        <v>25</v>
      </c>
      <c r="B26" s="2">
        <f>IF(MOD(A26,Params!$B$47)=0,A26/Params!$B$47+Params!$B$48,IF(MOD(A26,Params!$B$47)=1,Params!$B$49,0))</f>
        <v/>
      </c>
      <c r="C26" s="2">
        <f>IF(MOD(A26,Params!$B$47)=0,"assault",IF(MOD(A26,Params!$B$47)=1,"probe","quiet"))</f>
        <v/>
      </c>
      <c r="D26" s="4">
        <f>B26*Params!$B$51*Params!$B$50</f>
        <v/>
      </c>
    </row>
    <row r="27">
      <c r="A27" s="18" t="n">
        <v>26</v>
      </c>
      <c r="B27" s="2">
        <f>IF(MOD(A27,Params!$B$47)=0,A27/Params!$B$47+Params!$B$48,IF(MOD(A27,Params!$B$47)=1,Params!$B$49,0))</f>
        <v/>
      </c>
      <c r="C27" s="2">
        <f>IF(MOD(A27,Params!$B$47)=0,"assault",IF(MOD(A27,Params!$B$47)=1,"probe","quiet"))</f>
        <v/>
      </c>
      <c r="D27" s="4">
        <f>B27*Params!$B$51*Params!$B$50</f>
        <v/>
      </c>
    </row>
    <row r="28">
      <c r="A28" s="18" t="n">
        <v>27</v>
      </c>
      <c r="B28" s="2">
        <f>IF(MOD(A28,Params!$B$47)=0,A28/Params!$B$47+Params!$B$48,IF(MOD(A28,Params!$B$47)=1,Params!$B$49,0))</f>
        <v/>
      </c>
      <c r="C28" s="2">
        <f>IF(MOD(A28,Params!$B$47)=0,"assault",IF(MOD(A28,Params!$B$47)=1,"probe","quiet"))</f>
        <v/>
      </c>
      <c r="D28" s="4">
        <f>B28*Params!$B$51*Params!$B$50</f>
        <v/>
      </c>
    </row>
    <row r="29">
      <c r="A29" s="18" t="n">
        <v>28</v>
      </c>
      <c r="B29" s="2">
        <f>IF(MOD(A29,Params!$B$47)=0,A29/Params!$B$47+Params!$B$48,IF(MOD(A29,Params!$B$47)=1,Params!$B$49,0))</f>
        <v/>
      </c>
      <c r="C29" s="2">
        <f>IF(MOD(A29,Params!$B$47)=0,"assault",IF(MOD(A29,Params!$B$47)=1,"probe","quiet"))</f>
        <v/>
      </c>
      <c r="D29" s="4">
        <f>B29*Params!$B$51*Params!$B$50</f>
        <v/>
      </c>
    </row>
    <row r="30">
      <c r="A30" s="18" t="n">
        <v>29</v>
      </c>
      <c r="B30" s="2">
        <f>IF(MOD(A30,Params!$B$47)=0,A30/Params!$B$47+Params!$B$48,IF(MOD(A30,Params!$B$47)=1,Params!$B$49,0))</f>
        <v/>
      </c>
      <c r="C30" s="2">
        <f>IF(MOD(A30,Params!$B$47)=0,"assault",IF(MOD(A30,Params!$B$47)=1,"probe","quiet"))</f>
        <v/>
      </c>
      <c r="D30" s="4">
        <f>B30*Params!$B$51*Params!$B$50</f>
        <v/>
      </c>
    </row>
    <row r="31">
      <c r="A31" s="18" t="n">
        <v>30</v>
      </c>
      <c r="B31" s="2">
        <f>IF(MOD(A31,Params!$B$47)=0,A31/Params!$B$47+Params!$B$48,IF(MOD(A31,Params!$B$47)=1,Params!$B$49,0))</f>
        <v/>
      </c>
      <c r="C31" s="2">
        <f>IF(MOD(A31,Params!$B$47)=0,"assault",IF(MOD(A31,Params!$B$47)=1,"probe","quiet"))</f>
        <v/>
      </c>
      <c r="D31" s="4">
        <f>B31*Params!$B$51*Params!$B$50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4" customWidth="1" min="5" max="5"/>
    <col width="12" customWidth="1" min="6" max="6"/>
    <col width="90" customWidth="1" min="7" max="7"/>
  </cols>
  <sheetData>
    <row r="1">
      <c r="A1" s="17" t="inlineStr">
        <is>
          <t>ID</t>
        </is>
      </c>
      <c r="B1" s="17" t="inlineStr">
        <is>
          <t>Name</t>
        </is>
      </c>
      <c r="C1" s="17" t="inlineStr">
        <is>
          <t>Work x</t>
        </is>
      </c>
      <c r="D1" s="17" t="inlineStr">
        <is>
          <t>Expedition speed x</t>
        </is>
      </c>
      <c r="E1" s="17" t="inlineStr">
        <is>
          <t>Carry (weight)</t>
        </is>
      </c>
      <c r="F1" s="17" t="inlineStr">
        <is>
          <t>Arrival day</t>
        </is>
      </c>
      <c r="G1" s="17" t="inlineStr">
        <is>
          <t>Notes</t>
        </is>
      </c>
    </row>
    <row r="2">
      <c r="A2" s="18" t="inlineStr">
        <is>
          <t>A</t>
        </is>
      </c>
      <c r="B2" s="18" t="inlineStr">
        <is>
          <t>Ivan</t>
        </is>
      </c>
      <c r="C2" s="18" t="n">
        <v>1.2</v>
      </c>
      <c r="D2" s="18" t="n">
        <v>1</v>
      </c>
      <c r="E2" s="18" t="n">
        <v>10</v>
      </c>
      <c r="F2" s="19" t="n">
        <v>1</v>
      </c>
      <c r="G2" s="2" t="inlineStr">
        <is>
          <t>Strong: works faster, carries more.</t>
        </is>
      </c>
    </row>
    <row r="3">
      <c r="A3" s="18" t="inlineStr">
        <is>
          <t>B</t>
        </is>
      </c>
      <c r="B3" s="18" t="inlineStr">
        <is>
          <t>Marta</t>
        </is>
      </c>
      <c r="C3" s="18" t="n">
        <v>0.9</v>
      </c>
      <c r="D3" s="18" t="n">
        <v>1.3</v>
      </c>
      <c r="E3" s="18" t="n">
        <v>7</v>
      </c>
      <c r="F3" s="19" t="n">
        <v>1</v>
      </c>
      <c r="G3" s="2" t="inlineStr">
        <is>
          <t>Light: runs the errands faster, carries less.</t>
        </is>
      </c>
    </row>
    <row r="4">
      <c r="A4" s="18" t="inlineStr">
        <is>
          <t>C</t>
        </is>
      </c>
      <c r="B4" s="18" t="inlineStr">
        <is>
          <t>Oleg (found in a house)</t>
        </is>
      </c>
      <c r="C4" s="18" t="n">
        <v>1</v>
      </c>
      <c r="D4" s="18" t="n">
        <v>1</v>
      </c>
      <c r="E4" s="18" t="n">
        <v>8</v>
      </c>
      <c r="F4" s="19" t="n"/>
      <c r="G4" s="2" t="inlineStr">
        <is>
          <t>Found in a residential house. Enter the day he joins to test one more mouth.</t>
        </is>
      </c>
    </row>
    <row r="5">
      <c r="A5" s="18" t="inlineStr">
        <is>
          <t>D</t>
        </is>
      </c>
      <c r="B5" s="18" t="inlineStr">
        <is>
          <t>Pavel (clinic, wounded)</t>
        </is>
      </c>
      <c r="C5" s="18" t="n">
        <v>1.1</v>
      </c>
      <c r="D5" s="18" t="n">
        <v>0.9</v>
      </c>
      <c r="E5" s="18" t="n">
        <v>9</v>
      </c>
      <c r="F5" s="19" t="n"/>
      <c r="G5" s="2" t="inlineStr">
        <is>
          <t>Wounded man from the clinic: eats from day one; model him with a late arrival day (wound rules are v1.1).</t>
        </is>
      </c>
    </row>
    <row r="6">
      <c r="A6" s="20" t="n"/>
      <c r="B6" s="20" t="n"/>
      <c r="C6" s="20" t="n"/>
      <c r="D6" s="20" t="n"/>
      <c r="E6" s="20" t="n"/>
      <c r="F6" s="20" t="n"/>
      <c r="G6" s="5" t="inlineStr">
        <is>
          <t>Spare row: add a survivor here (ID, name, stats, arrival day).</t>
        </is>
      </c>
    </row>
    <row r="7">
      <c r="A7" s="20" t="n"/>
      <c r="B7" s="20" t="n"/>
      <c r="C7" s="20" t="n"/>
      <c r="D7" s="20" t="n"/>
      <c r="E7" s="20" t="n"/>
      <c r="F7" s="20" t="n"/>
      <c r="G7" s="5" t="inlineStr">
        <is>
          <t>Spare row: add a survivor here (ID, name, stats, arrival day).</t>
        </is>
      </c>
    </row>
    <row r="9">
      <c r="A9" s="5" t="inlineStr">
        <is>
          <t>Arrival day blank = never joins. Present people eat and work from that day. Weight: food 1, board 2, medicine 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8" customWidth="1" min="4" max="4"/>
    <col width="8" customWidth="1" min="5" max="5"/>
    <col width="8" customWidth="1" min="6" max="6"/>
    <col width="10" customWidth="1" min="7" max="7"/>
    <col width="18" customWidth="1" min="8" max="8"/>
    <col width="80" customWidth="1" min="9" max="9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Type</t>
        </is>
      </c>
      <c r="D1" s="17" t="inlineStr">
        <is>
          <t>Distance (h one way)</t>
        </is>
      </c>
      <c r="E1" s="17" t="inlineStr">
        <is>
          <t>Food</t>
        </is>
      </c>
      <c r="F1" s="17" t="inlineStr">
        <is>
          <t>Boards</t>
        </is>
      </c>
      <c r="G1" s="17" t="inlineStr">
        <is>
          <t>Medicine</t>
        </is>
      </c>
      <c r="H1" s="17" t="inlineStr">
        <is>
          <t>Stock-limited (1/0)</t>
        </is>
      </c>
      <c r="I1" s="17" t="inlineStr">
        <is>
          <t>Notes</t>
        </is>
      </c>
    </row>
    <row r="2">
      <c r="A2" s="18" t="inlineStr">
        <is>
          <t>SHOP</t>
        </is>
      </c>
      <c r="B2" s="18" t="inlineStr">
        <is>
          <t>Grocery store</t>
        </is>
      </c>
      <c r="C2" s="18" t="inlineStr">
        <is>
          <t>special</t>
        </is>
      </c>
      <c r="D2" s="18" t="n">
        <v>2.5</v>
      </c>
      <c r="E2" s="18" t="n">
        <v>45</v>
      </c>
      <c r="F2" s="18" t="n">
        <v>0</v>
      </c>
      <c r="G2" s="18" t="n">
        <v>0</v>
      </c>
      <c r="H2" s="18" t="n">
        <v>1</v>
      </c>
      <c r="I2" s="2" t="inlineStr">
        <is>
          <t>The jackpot: several trips while the days are long. Stock depletes.</t>
        </is>
      </c>
    </row>
    <row r="3">
      <c r="A3" s="18" t="inlineStr">
        <is>
          <t>WARE</t>
        </is>
      </c>
      <c r="B3" s="18" t="inlineStr">
        <is>
          <t>Timber warehouse</t>
        </is>
      </c>
      <c r="C3" s="18" t="inlineStr">
        <is>
          <t>special</t>
        </is>
      </c>
      <c r="D3" s="18" t="n">
        <v>3</v>
      </c>
      <c r="E3" s="18" t="n">
        <v>0</v>
      </c>
      <c r="F3" s="18" t="n">
        <v>40</v>
      </c>
      <c r="G3" s="18" t="n">
        <v>0</v>
      </c>
      <c r="H3" s="18" t="n">
        <v>1</v>
      </c>
      <c r="I3" s="2" t="inlineStr">
        <is>
          <t>Boards are heavy (weight 2): a few per trip without a sled (sled = v2).</t>
        </is>
      </c>
    </row>
    <row r="4">
      <c r="A4" s="18" t="inlineStr">
        <is>
          <t>CLINIC</t>
        </is>
      </c>
      <c r="B4" s="18" t="inlineStr">
        <is>
          <t>Clinic (hospital + pharmacy)</t>
        </is>
      </c>
      <c r="C4" s="18" t="inlineStr">
        <is>
          <t>special</t>
        </is>
      </c>
      <c r="D4" s="18" t="n">
        <v>3</v>
      </c>
      <c r="E4" s="18" t="n">
        <v>8</v>
      </c>
      <c r="F4" s="18" t="n">
        <v>0</v>
      </c>
      <c r="G4" s="18" t="n">
        <v>6</v>
      </c>
      <c r="H4" s="18" t="n">
        <v>1</v>
      </c>
      <c r="I4" s="2" t="inlineStr">
        <is>
          <t>Hospital + pharmacy in one, far and in wolf country. Medicine, some food - and the wounded man (see People).</t>
        </is>
      </c>
    </row>
    <row r="5">
      <c r="A5" s="18" t="inlineStr">
        <is>
          <t>GARAGE</t>
        </is>
      </c>
      <c r="B5" s="18" t="inlineStr">
        <is>
          <t>Garage</t>
        </is>
      </c>
      <c r="C5" s="18" t="inlineStr">
        <is>
          <t>special</t>
        </is>
      </c>
      <c r="D5" s="18" t="n">
        <v>2</v>
      </c>
      <c r="E5" s="18" t="n">
        <v>4</v>
      </c>
      <c r="F5" s="18" t="n">
        <v>10</v>
      </c>
      <c r="G5" s="18" t="n">
        <v>0</v>
      </c>
      <c r="H5" s="18" t="n">
        <v>1</v>
      </c>
      <c r="I5" s="2" t="inlineStr">
        <is>
          <t>Tools and a little of everything (barrel stove and sled are v2).</t>
        </is>
      </c>
    </row>
    <row r="6">
      <c r="A6" s="18" t="inlineStr">
        <is>
          <t>OFFICE</t>
        </is>
      </c>
      <c r="B6" s="18" t="inlineStr">
        <is>
          <t>Mine office</t>
        </is>
      </c>
      <c r="C6" s="18" t="inlineStr">
        <is>
          <t>special</t>
        </is>
      </c>
      <c r="D6" s="18" t="n">
        <v>3</v>
      </c>
      <c r="E6" s="18" t="n">
        <v>4</v>
      </c>
      <c r="F6" s="18" t="n">
        <v>0</v>
      </c>
      <c r="G6" s="18" t="n">
        <v>0</v>
      </c>
      <c r="H6" s="18" t="n">
        <v>1</v>
      </c>
      <c r="I6" s="2" t="inlineStr">
        <is>
          <t>Kerosene, tools (not modelled) and a little food. The mine itself is v2.</t>
        </is>
      </c>
    </row>
    <row r="7">
      <c r="A7" s="18" t="inlineStr">
        <is>
          <t>R01</t>
        </is>
      </c>
      <c r="B7" s="18" t="inlineStr">
        <is>
          <t>Residential house 1</t>
        </is>
      </c>
      <c r="C7" s="18" t="inlineStr">
        <is>
          <t>residential</t>
        </is>
      </c>
      <c r="D7" s="18" t="n">
        <v>0.5</v>
      </c>
      <c r="E7" s="18" t="n">
        <v>6</v>
      </c>
      <c r="F7" s="18" t="n">
        <v>3</v>
      </c>
      <c r="G7" s="18" t="n">
        <v>0</v>
      </c>
      <c r="H7" s="18" t="n">
        <v>1</v>
      </c>
      <c r="I7" s="2" t="inlineStr">
        <is>
          <t>One of twelve residential houses: small haul, depletes after one visit; survivors hide here.</t>
        </is>
      </c>
    </row>
    <row r="8">
      <c r="A8" s="18" t="inlineStr">
        <is>
          <t>R02</t>
        </is>
      </c>
      <c r="B8" s="18" t="inlineStr">
        <is>
          <t>Residential house 2</t>
        </is>
      </c>
      <c r="C8" s="18" t="inlineStr">
        <is>
          <t>residential</t>
        </is>
      </c>
      <c r="D8" s="18" t="n">
        <v>0.5</v>
      </c>
      <c r="E8" s="18" t="n">
        <v>5</v>
      </c>
      <c r="F8" s="18" t="n">
        <v>2</v>
      </c>
      <c r="G8" s="18" t="n">
        <v>0</v>
      </c>
      <c r="H8" s="18" t="n">
        <v>1</v>
      </c>
      <c r="I8" s="2" t="inlineStr">
        <is>
          <t>One of twelve residential houses: small haul, depletes after one visit; survivors hide here.</t>
        </is>
      </c>
    </row>
    <row r="9">
      <c r="A9" s="18" t="inlineStr">
        <is>
          <t>R03</t>
        </is>
      </c>
      <c r="B9" s="18" t="inlineStr">
        <is>
          <t>Residential house 3</t>
        </is>
      </c>
      <c r="C9" s="18" t="inlineStr">
        <is>
          <t>residential</t>
        </is>
      </c>
      <c r="D9" s="18" t="n">
        <v>1</v>
      </c>
      <c r="E9" s="18" t="n">
        <v>8</v>
      </c>
      <c r="F9" s="18" t="n">
        <v>4</v>
      </c>
      <c r="G9" s="18" t="n">
        <v>0</v>
      </c>
      <c r="H9" s="18" t="n">
        <v>1</v>
      </c>
      <c r="I9" s="2" t="inlineStr">
        <is>
          <t>One of twelve residential houses: small haul, depletes after one visit; survivors hide here.</t>
        </is>
      </c>
    </row>
    <row r="10">
      <c r="A10" s="18" t="inlineStr">
        <is>
          <t>R04</t>
        </is>
      </c>
      <c r="B10" s="18" t="inlineStr">
        <is>
          <t>Residential house 4</t>
        </is>
      </c>
      <c r="C10" s="18" t="inlineStr">
        <is>
          <t>residential</t>
        </is>
      </c>
      <c r="D10" s="18" t="n">
        <v>1</v>
      </c>
      <c r="E10" s="18" t="n">
        <v>4</v>
      </c>
      <c r="F10" s="18" t="n">
        <v>2</v>
      </c>
      <c r="G10" s="18" t="n">
        <v>0</v>
      </c>
      <c r="H10" s="18" t="n">
        <v>1</v>
      </c>
      <c r="I10" s="2" t="inlineStr">
        <is>
          <t>One of twelve residential houses: small haul, depletes after one visit; survivors hide here.</t>
        </is>
      </c>
    </row>
    <row r="11">
      <c r="A11" s="18" t="inlineStr">
        <is>
          <t>R05</t>
        </is>
      </c>
      <c r="B11" s="18" t="inlineStr">
        <is>
          <t>Residential house 5</t>
        </is>
      </c>
      <c r="C11" s="18" t="inlineStr">
        <is>
          <t>residential</t>
        </is>
      </c>
      <c r="D11" s="18" t="n">
        <v>1</v>
      </c>
      <c r="E11" s="18" t="n">
        <v>6</v>
      </c>
      <c r="F11" s="18" t="n">
        <v>3</v>
      </c>
      <c r="G11" s="18" t="n">
        <v>0</v>
      </c>
      <c r="H11" s="18" t="n">
        <v>1</v>
      </c>
      <c r="I11" s="2" t="inlineStr">
        <is>
          <t>One of twelve residential houses: small haul, depletes after one visit; survivors hide here.</t>
        </is>
      </c>
    </row>
    <row r="12">
      <c r="A12" s="18" t="inlineStr">
        <is>
          <t>R06</t>
        </is>
      </c>
      <c r="B12" s="18" t="inlineStr">
        <is>
          <t>Residential house 6</t>
        </is>
      </c>
      <c r="C12" s="18" t="inlineStr">
        <is>
          <t>residential</t>
        </is>
      </c>
      <c r="D12" s="18" t="n">
        <v>1</v>
      </c>
      <c r="E12" s="18" t="n">
        <v>7</v>
      </c>
      <c r="F12" s="18" t="n">
        <v>4</v>
      </c>
      <c r="G12" s="18" t="n">
        <v>0</v>
      </c>
      <c r="H12" s="18" t="n">
        <v>1</v>
      </c>
      <c r="I12" s="2" t="inlineStr">
        <is>
          <t>One of twelve residential houses: small haul, depletes after one visit; survivors hide here.</t>
        </is>
      </c>
    </row>
    <row r="13">
      <c r="A13" s="18" t="inlineStr">
        <is>
          <t>R07</t>
        </is>
      </c>
      <c r="B13" s="18" t="inlineStr">
        <is>
          <t>Residential house 7</t>
        </is>
      </c>
      <c r="C13" s="18" t="inlineStr">
        <is>
          <t>residential</t>
        </is>
      </c>
      <c r="D13" s="18" t="n">
        <v>1.5</v>
      </c>
      <c r="E13" s="18" t="n">
        <v>5</v>
      </c>
      <c r="F13" s="18" t="n">
        <v>2</v>
      </c>
      <c r="G13" s="18" t="n">
        <v>0</v>
      </c>
      <c r="H13" s="18" t="n">
        <v>1</v>
      </c>
      <c r="I13" s="2" t="inlineStr">
        <is>
          <t>One of twelve residential houses: small haul, depletes after one visit; survivors hide here.</t>
        </is>
      </c>
    </row>
    <row r="14">
      <c r="A14" s="18" t="inlineStr">
        <is>
          <t>R08</t>
        </is>
      </c>
      <c r="B14" s="18" t="inlineStr">
        <is>
          <t>Residential house 8</t>
        </is>
      </c>
      <c r="C14" s="18" t="inlineStr">
        <is>
          <t>residential</t>
        </is>
      </c>
      <c r="D14" s="18" t="n">
        <v>1.5</v>
      </c>
      <c r="E14" s="18" t="n">
        <v>8</v>
      </c>
      <c r="F14" s="18" t="n">
        <v>3</v>
      </c>
      <c r="G14" s="18" t="n">
        <v>0</v>
      </c>
      <c r="H14" s="18" t="n">
        <v>1</v>
      </c>
      <c r="I14" s="2" t="inlineStr">
        <is>
          <t>One of twelve residential houses: small haul, depletes after one visit; survivors hide here.</t>
        </is>
      </c>
    </row>
    <row r="15">
      <c r="A15" s="18" t="inlineStr">
        <is>
          <t>R09</t>
        </is>
      </c>
      <c r="B15" s="18" t="inlineStr">
        <is>
          <t>Residential house 9</t>
        </is>
      </c>
      <c r="C15" s="18" t="inlineStr">
        <is>
          <t>residential</t>
        </is>
      </c>
      <c r="D15" s="18" t="n">
        <v>1.5</v>
      </c>
      <c r="E15" s="18" t="n">
        <v>6</v>
      </c>
      <c r="F15" s="18" t="n">
        <v>4</v>
      </c>
      <c r="G15" s="18" t="n">
        <v>0</v>
      </c>
      <c r="H15" s="18" t="n">
        <v>1</v>
      </c>
      <c r="I15" s="2" t="inlineStr">
        <is>
          <t>One of twelve residential houses: small haul, depletes after one visit; survivors hide here.</t>
        </is>
      </c>
    </row>
    <row r="16">
      <c r="A16" s="18" t="inlineStr">
        <is>
          <t>R10</t>
        </is>
      </c>
      <c r="B16" s="18" t="inlineStr">
        <is>
          <t>Residential house 10</t>
        </is>
      </c>
      <c r="C16" s="18" t="inlineStr">
        <is>
          <t>residential</t>
        </is>
      </c>
      <c r="D16" s="18" t="n">
        <v>2</v>
      </c>
      <c r="E16" s="18" t="n">
        <v>4</v>
      </c>
      <c r="F16" s="18" t="n">
        <v>2</v>
      </c>
      <c r="G16" s="18" t="n">
        <v>0</v>
      </c>
      <c r="H16" s="18" t="n">
        <v>1</v>
      </c>
      <c r="I16" s="2" t="inlineStr">
        <is>
          <t>One of twelve residential houses: small haul, depletes after one visit; survivors hide here.</t>
        </is>
      </c>
    </row>
    <row r="17">
      <c r="A17" s="18" t="inlineStr">
        <is>
          <t>R11</t>
        </is>
      </c>
      <c r="B17" s="18" t="inlineStr">
        <is>
          <t>Residential house 11</t>
        </is>
      </c>
      <c r="C17" s="18" t="inlineStr">
        <is>
          <t>residential</t>
        </is>
      </c>
      <c r="D17" s="18" t="n">
        <v>2</v>
      </c>
      <c r="E17" s="18" t="n">
        <v>7</v>
      </c>
      <c r="F17" s="18" t="n">
        <v>3</v>
      </c>
      <c r="G17" s="18" t="n">
        <v>0</v>
      </c>
      <c r="H17" s="18" t="n">
        <v>1</v>
      </c>
      <c r="I17" s="2" t="inlineStr">
        <is>
          <t>One of twelve residential houses: small haul, depletes after one visit; survivors hide here.</t>
        </is>
      </c>
    </row>
    <row r="18">
      <c r="A18" s="18" t="inlineStr">
        <is>
          <t>R12</t>
        </is>
      </c>
      <c r="B18" s="18" t="inlineStr">
        <is>
          <t>Residential house 12</t>
        </is>
      </c>
      <c r="C18" s="18" t="inlineStr">
        <is>
          <t>residential</t>
        </is>
      </c>
      <c r="D18" s="18" t="n">
        <v>2</v>
      </c>
      <c r="E18" s="18" t="n">
        <v>6</v>
      </c>
      <c r="F18" s="18" t="n">
        <v>3</v>
      </c>
      <c r="G18" s="18" t="n">
        <v>0</v>
      </c>
      <c r="H18" s="18" t="n">
        <v>1</v>
      </c>
      <c r="I18" s="2" t="inlineStr">
        <is>
          <t>One of twelve residential houses: small haul, depletes after one visit; survivors hide here.</t>
        </is>
      </c>
    </row>
    <row r="20">
      <c r="A20" s="5" t="inlineStr">
        <is>
          <t>Haul per trip = min(stock left, carry): food first, then boards with the remaining weight, medicine always fits. Every house depletes.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2026-09-06T11:23:11Z</dcterms:created>
  <dcterms:modified xsi:type="dcterms:W3CDTF">2026-09-06T11:23:12Z</dcterms:modified>
</cp:coreProperties>
</file>